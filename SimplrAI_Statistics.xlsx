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ticipants" sheetId="2" state="visible" r:id="rId4"/>
    <sheet name="Clarity Ratings" sheetId="3" state="visible" r:id="rId5"/>
    <sheet name="Quiz Performance" sheetId="4" state="visible" r:id="rId6"/>
    <sheet name="Reading Level" sheetId="5" state="visible" r:id="rId7"/>
    <sheet name="Accuracy" sheetId="6" state="visible" r:id="rId8"/>
    <sheet name="Cross-Site Analysis" sheetId="7" state="visible" r:id="rId9"/>
    <sheet name="Trust &amp; Helpfulness" sheetId="8" state="visible" r:id="rId10"/>
    <sheet name="Table 1 Summary" sheetId="9" state="visible" r:id="rId11"/>
    <sheet name="Statistical Tes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<sst xmlns="http://schemas.openxmlformats.org/spreadsheetml/2006/main" count="357" uniqueCount="241">
  <si>
    <t xml:space="preserve">SimplrAI Exemplar Paper – Statistics Workbook</t>
  </si>
  <si>
    <t xml:space="preserve">PURPOSE</t>
  </si>
  <si>
    <t xml:space="preserve">This workbook contains all summary statistics, raw cell means, and statistical test results reported in the SimplrAI senior capstone paper. It is intended as a companion to the PDF and the figure-generation script.</t>
  </si>
  <si>
    <t xml:space="preserve">EXEMPLAR NOTE</t>
  </si>
  <si>
    <t xml:space="preserve">All numbers in this workbook are illustrative. The study described in the paper is fabricated for teaching purposes — the data reflect a plausible design and plausible effect sizes, but do not come from a real experiment.</t>
  </si>
  <si>
    <t xml:space="preserve">SHEET INDEX</t>
  </si>
  <si>
    <t xml:space="preserve">1. README                — this page
2. Participants          — demographics, attrition, US/India split
3. Clarity Ratings       — Figure 2 data (clarity × grade × condition)
4. Quiz Performance      — Figure 3 data (pre/post by condition) + ANOVA
5. Reading Level         — Figure 4 data (target vs. measured grade)
6. Accuracy              — accuracy rubric scores, hallucination rates, χ²
7. Cross-Site Analysis   — 2×3 country × condition ANOVA (Section 4.6)
8. Trust &amp; Helpfulness   — secondary survey outcomes
9. Table 1 (Summary)     — the headline summary table from the paper
10. Statistical Tests   — every test reported, in one place</t>
  </si>
  <si>
    <t xml:space="preserve">FIGURE REPRODUCIBILITY</t>
  </si>
  <si>
    <t xml:space="preserve">Each chart in the paper was generated by the Python script make_figures.py included alongside this workbook. The script uses matplotlib and consumes the same summary statistics shown in this file.</t>
  </si>
  <si>
    <t xml:space="preserve">EFFECT SIZE FORMULAS</t>
  </si>
  <si>
    <t xml:space="preserve">Cohen's d is computed throughout as (M1 − M2) / SD_pooled, where SD_pooled = sqrt((SD1² + SD2²) / 2). Where group sizes differ materially, use the weighted pooled SD instead.</t>
  </si>
  <si>
    <t xml:space="preserve">Participant Demographics &amp; Attrition</t>
  </si>
  <si>
    <t xml:space="preserve">N = 98 recruited; final analytic sample N = 87 after attrition</t>
  </si>
  <si>
    <t xml:space="preserve">Recruitment &amp; Attrition Flow</t>
  </si>
  <si>
    <t xml:space="preserve">Stage</t>
  </si>
  <si>
    <t xml:space="preserve">Count</t>
  </si>
  <si>
    <t xml:space="preserve">% of recruited</t>
  </si>
  <si>
    <t xml:space="preserve">Recruited</t>
  </si>
  <si>
    <t xml:space="preserve">Withdrew before post-test</t>
  </si>
  <si>
    <t xml:space="preserve">Excluded for incomplete response</t>
  </si>
  <si>
    <t xml:space="preserve">Final analytic sample</t>
  </si>
  <si>
    <t xml:space="preserve">By Educational Level (final sample)</t>
  </si>
  <si>
    <t xml:space="preserve">Level</t>
  </si>
  <si>
    <t xml:space="preserve">n</t>
  </si>
  <si>
    <t xml:space="preserve">% of sample</t>
  </si>
  <si>
    <t xml:space="preserve">Mean age</t>
  </si>
  <si>
    <t xml:space="preserve">Female %</t>
  </si>
  <si>
    <t xml:space="preserve">Male %</t>
  </si>
  <si>
    <t xml:space="preserve">Middle school</t>
  </si>
  <si>
    <t xml:space="preserve">High school</t>
  </si>
  <si>
    <t xml:space="preserve">College</t>
  </si>
  <si>
    <t xml:space="preserve">Total / Mean</t>
  </si>
  <si>
    <t xml:space="preserve">By Country of Recruitment</t>
  </si>
  <si>
    <t xml:space="preserve">Country</t>
  </si>
  <si>
    <t xml:space="preserve">Schools</t>
  </si>
  <si>
    <t xml:space="preserve">Weekly AI use %</t>
  </si>
  <si>
    <t xml:space="preserve">United States</t>
  </si>
  <si>
    <t xml:space="preserve">BASIS Independent McLean + 1 partner (VA)</t>
  </si>
  <si>
    <t xml:space="preserve">India</t>
  </si>
  <si>
    <t xml:space="preserve">CBSE-affiliated schools in Mumbai + New Delhi</t>
  </si>
  <si>
    <t xml:space="preserve">Total</t>
  </si>
  <si>
    <t xml:space="preserve">4 schools + 1 online study group</t>
  </si>
  <si>
    <t xml:space="preserve">By Condition Assignment</t>
  </si>
  <si>
    <t xml:space="preserve">Condition</t>
  </si>
  <si>
    <t xml:space="preserve">Notes</t>
  </si>
  <si>
    <t xml:space="preserve">SimplrAI</t>
  </si>
  <si>
    <t xml:space="preserve">Structured prompting + retrieval + chunked UI</t>
  </si>
  <si>
    <t xml:space="preserve">ChatGPT (GPT-5)</t>
  </si>
  <si>
    <t xml:space="preserve">Web interface, no system prompt</t>
  </si>
  <si>
    <t xml:space="preserve">Control</t>
  </si>
  <si>
    <t xml:space="preserve">OpenStax textbook chapter only</t>
  </si>
  <si>
    <t xml:space="preserve">Clarity Ratings (Figure 2)</t>
  </si>
  <si>
    <t xml:space="preserve">Mean clarity on 7-point Likert scale, by grade level × AI condition</t>
  </si>
  <si>
    <t xml:space="preserve">Cell Means and Standard Deviations</t>
  </si>
  <si>
    <t xml:space="preserve">Grade Level</t>
  </si>
  <si>
    <t xml:space="preserve">SimplrAI M</t>
  </si>
  <si>
    <t xml:space="preserve">SimplrAI SD</t>
  </si>
  <si>
    <t xml:space="preserve">ChatGPT M</t>
  </si>
  <si>
    <t xml:space="preserve">ChatGPT SD</t>
  </si>
  <si>
    <t xml:space="preserve">Gemini 2.5 M</t>
  </si>
  <si>
    <t xml:space="preserve">Gemini 2.5 SD</t>
  </si>
  <si>
    <t xml:space="preserve">Middle school (n=29)</t>
  </si>
  <si>
    <t xml:space="preserve">High school (n=35)</t>
  </si>
  <si>
    <t xml:space="preserve">College (n=23)</t>
  </si>
  <si>
    <t xml:space="preserve">Overall (N=87)</t>
  </si>
  <si>
    <t xml:space="preserve">Pairwise Comparisons (SimplrAI vs. ChatGPT)</t>
  </si>
  <si>
    <t xml:space="preserve">Mean diff</t>
  </si>
  <si>
    <t xml:space="preserve">Pooled SD</t>
  </si>
  <si>
    <t xml:space="preserve">Cohen's d</t>
  </si>
  <si>
    <t xml:space="preserve">t</t>
  </si>
  <si>
    <t xml:space="preserve">df</t>
  </si>
  <si>
    <t xml:space="preserve">p</t>
  </si>
  <si>
    <t xml:space="preserve">&lt;.001</t>
  </si>
  <si>
    <t xml:space="preserve">.002</t>
  </si>
  <si>
    <t xml:space="preserve">Overall</t>
  </si>
  <si>
    <t xml:space="preserve">Note. Headline test from paper: t(85) = 12.41, p &lt; .001, Cohen's d = 1.42 (overall row).</t>
  </si>
  <si>
    <t xml:space="preserve">Quiz Performance (Figure 3)</t>
  </si>
  <si>
    <t xml:space="preserve">Pre/post quiz scores (% correct), 10-item assessments, three conditions</t>
  </si>
  <si>
    <t xml:space="preserve">Pre / Post / Improvement</t>
  </si>
  <si>
    <t xml:space="preserve">Pre M</t>
  </si>
  <si>
    <t xml:space="preserve">Pre SD</t>
  </si>
  <si>
    <t xml:space="preserve">Post M</t>
  </si>
  <si>
    <t xml:space="preserve">Post SD</t>
  </si>
  <si>
    <t xml:space="preserve">Improvement (pp)</t>
  </si>
  <si>
    <t xml:space="preserve">Imp SD</t>
  </si>
  <si>
    <t xml:space="preserve">SimplrAI (n=30)</t>
  </si>
  <si>
    <t xml:space="preserve">ChatGPT (n=29)</t>
  </si>
  <si>
    <t xml:space="preserve">Control (n=28)</t>
  </si>
  <si>
    <t xml:space="preserve">One-Way ANOVA on Improvement Scores</t>
  </si>
  <si>
    <t xml:space="preserve">Source</t>
  </si>
  <si>
    <t xml:space="preserve">SS</t>
  </si>
  <si>
    <t xml:space="preserve">MS</t>
  </si>
  <si>
    <t xml:space="preserve">F</t>
  </si>
  <si>
    <t xml:space="preserve">η²</t>
  </si>
  <si>
    <t xml:space="preserve">Between conditions</t>
  </si>
  <si>
    <t xml:space="preserve">Within (error)</t>
  </si>
  <si>
    <t xml:space="preserve">Pairwise Contrasts</t>
  </si>
  <si>
    <t xml:space="preserve">Comparison</t>
  </si>
  <si>
    <t xml:space="preserve">Mean diff (pp)</t>
  </si>
  <si>
    <t xml:space="preserve">SimplrAI vs. ChatGPT</t>
  </si>
  <si>
    <t xml:space="preserve">SimplrAI vs. Control</t>
  </si>
  <si>
    <t xml:space="preserve">ChatGPT vs. Control</t>
  </si>
  <si>
    <t xml:space="preserve">.017</t>
  </si>
  <si>
    <t xml:space="preserve">Note. Pre-test equivalence confirmed: F(2,84) = 0.14, p = .87.</t>
  </si>
  <si>
    <t xml:space="preserve">Reading-Level Alignment (Figure 4)</t>
  </si>
  <si>
    <t xml:space="preserve">Requested target grade vs. measured Flesch–Kincaid grade level of AI output</t>
  </si>
  <si>
    <t xml:space="preserve">Per-Target Output Grade Level</t>
  </si>
  <si>
    <t xml:space="preserve">Target grade</t>
  </si>
  <si>
    <t xml:space="preserve">SimplrAI output</t>
  </si>
  <si>
    <t xml:space="preserve">SimplrAI deviation</t>
  </si>
  <si>
    <t xml:space="preserve">ChatGPT output</t>
  </si>
  <si>
    <t xml:space="preserve">ChatGPT deviation</t>
  </si>
  <si>
    <t xml:space="preserve">Summary</t>
  </si>
  <si>
    <t xml:space="preserve">Metric</t>
  </si>
  <si>
    <t xml:space="preserve">ChatGPT</t>
  </si>
  <si>
    <t xml:space="preserve">Mean absolute deviation (grades)</t>
  </si>
  <si>
    <t xml:space="preserve">Mean signed deviation (grades)</t>
  </si>
  <si>
    <t xml:space="preserve">SD of deviation</t>
  </si>
  <si>
    <t xml:space="preserve">% within ±1 grade of target</t>
  </si>
  <si>
    <t xml:space="preserve">Note. ChatGPT exhibits a floor effect at ≈8th grade; it cannot reliably produce text below that level even when explicitly asked.</t>
  </si>
  <si>
    <t xml:space="preserve">Factual Accuracy &amp; Hallucination</t>
  </si>
  <si>
    <t xml:space="preserve">Expert-rated accuracy on a 4-point rubric; two raters, weighted κ = 0.84</t>
  </si>
  <si>
    <t xml:space="preserve">Rubric Distribution (% of explanations)</t>
  </si>
  <si>
    <t xml:space="preserve">Rubric Category</t>
  </si>
  <si>
    <t xml:space="preserve">SimplrAI %</t>
  </si>
  <si>
    <t xml:space="preserve">ChatGPT %</t>
  </si>
  <si>
    <t xml:space="preserve">Difference (pp)</t>
  </si>
  <si>
    <t xml:space="preserve">Fully accurate</t>
  </si>
  <si>
    <t xml:space="preserve">Most common category</t>
  </si>
  <si>
    <t xml:space="preserve">Minor error</t>
  </si>
  <si>
    <t xml:space="preserve">Imprecision, not wrong</t>
  </si>
  <si>
    <t xml:space="preserve">Material error</t>
  </si>
  <si>
    <t xml:space="preserve">Wrong but recognizable</t>
  </si>
  <si>
    <t xml:space="preserve">Hallucination</t>
  </si>
  <si>
    <t xml:space="preserve">Fabricated content</t>
  </si>
  <si>
    <t xml:space="preserve">Hallucination Rate (per 100 explanations)</t>
  </si>
  <si>
    <t xml:space="preserve">Rate</t>
  </si>
  <si>
    <t xml:space="preserve">Total explanations</t>
  </si>
  <si>
    <t xml:space="preserve">Hallucinations</t>
  </si>
  <si>
    <t xml:space="preserve">Reduction (×)</t>
  </si>
  <si>
    <t xml:space="preserve">Chi-Square Test (full accuracy vs. any error)</t>
  </si>
  <si>
    <t xml:space="preserve">Statistic</t>
  </si>
  <si>
    <t xml:space="preserve">Value</t>
  </si>
  <si>
    <t xml:space="preserve">χ²</t>
  </si>
  <si>
    <t xml:space="preserve">.003</t>
  </si>
  <si>
    <t xml:space="preserve">Cramer's V</t>
  </si>
  <si>
    <t xml:space="preserve">Cross-Site Analysis (Section 4.6)</t>
  </si>
  <si>
    <t xml:space="preserve">2 (country: US, India) × 3 (condition: SimplrAI, ChatGPT, control) ANOVA on quiz improvement</t>
  </si>
  <si>
    <t xml:space="preserve">Per-Cell Means (Quiz Improvement in pp)</t>
  </si>
  <si>
    <t xml:space="preserve">Row Mean</t>
  </si>
  <si>
    <t xml:space="preserve">United States (n=46)</t>
  </si>
  <si>
    <t xml:space="preserve">India (n=41)</t>
  </si>
  <si>
    <t xml:space="preserve">Column Mean</t>
  </si>
  <si>
    <t xml:space="preserve">Per-Cell Clarity Ratings</t>
  </si>
  <si>
    <t xml:space="preserve">Difference</t>
  </si>
  <si>
    <t xml:space="preserve">2×3 ANOVA Results</t>
  </si>
  <si>
    <t xml:space="preserve">df1</t>
  </si>
  <si>
    <t xml:space="preserve">df2</t>
  </si>
  <si>
    <t xml:space="preserve">η²ₚ</t>
  </si>
  <si>
    <t xml:space="preserve">Country (main effect)</t>
  </si>
  <si>
    <t xml:space="preserve">.52</t>
  </si>
  <si>
    <t xml:space="preserve">Condition (main effect)</t>
  </si>
  <si>
    <t xml:space="preserve">Country × Condition</t>
  </si>
  <si>
    <t xml:space="preserve">.73</t>
  </si>
  <si>
    <t xml:space="preserve">Note. Null interaction is suggestive, not definitive — per-cell n ≈ 22 limits power to detect anything but moderate-to-large moderation.</t>
  </si>
  <si>
    <t xml:space="preserve">Secondary Survey Outcomes</t>
  </si>
  <si>
    <t xml:space="preserve">All ratings on 7-point Likert scales; higher = better except Reading Difficulty</t>
  </si>
  <si>
    <t xml:space="preserve">Means and Effect Sizes (SimplrAI vs. ChatGPT)</t>
  </si>
  <si>
    <t xml:space="preserve">Measure</t>
  </si>
  <si>
    <t xml:space="preserve">SimplrAI M (SD)</t>
  </si>
  <si>
    <t xml:space="preserve">ChatGPT M (SD)</t>
  </si>
  <si>
    <t xml:space="preserve">t(85)</t>
  </si>
  <si>
    <t xml:space="preserve">Helpfulness</t>
  </si>
  <si>
    <t xml:space="preserve">6.18 (0.45)</t>
  </si>
  <si>
    <t xml:space="preserve">5.02 (0.58)</t>
  </si>
  <si>
    <t xml:space="preserve">Trust</t>
  </si>
  <si>
    <t xml:space="preserve">5.71 (0.59)</t>
  </si>
  <si>
    <t xml:space="preserve">4.62 (0.64)</t>
  </si>
  <si>
    <t xml:space="preserve">Reading difficulty</t>
  </si>
  <si>
    <t xml:space="preserve">2.41 (0.71)</t>
  </si>
  <si>
    <t xml:space="preserve">4.18 (0.83)</t>
  </si>
  <si>
    <t xml:space="preserve">Accuracy (self-rated)</t>
  </si>
  <si>
    <t xml:space="preserve">6.05 (0.51)</t>
  </si>
  <si>
    <t xml:space="preserve">5.21 (0.62)</t>
  </si>
  <si>
    <t xml:space="preserve">Note. Reading difficulty is reverse-coded (higher = harder); the negative d indicates SimplrAI was rated as easier to read.</t>
  </si>
  <si>
    <t xml:space="preserve">Table 1. Summary of Primary and Secondary Outcomes</t>
  </si>
  <si>
    <t xml:space="preserve">Headline statistics by condition (standard deviations in parentheses)</t>
  </si>
  <si>
    <t xml:space="preserve">Clarity rating (1–7 Likert)</t>
  </si>
  <si>
    <t xml:space="preserve">6.13 (0.42)</t>
  </si>
  <si>
    <t xml:space="preserve">4.83 (0.51)</t>
  </si>
  <si>
    <t xml:space="preserve">—</t>
  </si>
  <si>
    <t xml:space="preserve">Quiz improvement (percentage points)</t>
  </si>
  <si>
    <t xml:space="preserve">+16.2 (4.3)</t>
  </si>
  <si>
    <t xml:space="preserve">+8.1 (4.7)</t>
  </si>
  <si>
    <t xml:space="preserve">+3.6 (3.9)</t>
  </si>
  <si>
    <t xml:space="preserve">Reading-level deviation (grades)</t>
  </si>
  <si>
    <t xml:space="preserve">Fully-accurate explanations (%)</t>
  </si>
  <si>
    <t xml:space="preserve">Hallucinations (per 100)</t>
  </si>
  <si>
    <t xml:space="preserve">Helpfulness (1–7)</t>
  </si>
  <si>
    <t xml:space="preserve">Trust (1–7)</t>
  </si>
  <si>
    <t xml:space="preserve">Reading difficulty (1–7, ↓=easier)</t>
  </si>
  <si>
    <t xml:space="preserve">Master List of Statistical Tests</t>
  </si>
  <si>
    <t xml:space="preserve">Every inferential test reported in the paper, consolidated for reference</t>
  </si>
  <si>
    <t xml:space="preserve">Test</t>
  </si>
  <si>
    <t xml:space="preserve">Effect size</t>
  </si>
  <si>
    <t xml:space="preserve">Magnitude</t>
  </si>
  <si>
    <t xml:space="preserve">Clarity: SimplrAI vs. ChatGPT (overall)</t>
  </si>
  <si>
    <t xml:space="preserve">Very large</t>
  </si>
  <si>
    <t xml:space="preserve">Quiz pre-test equivalence (3 groups)</t>
  </si>
  <si>
    <t xml:space="preserve">2, 84</t>
  </si>
  <si>
    <t xml:space="preserve">.87</t>
  </si>
  <si>
    <t xml:space="preserve">Quiz improvement: ANOVA (3 groups)</t>
  </si>
  <si>
    <t xml:space="preserve">Large η²</t>
  </si>
  <si>
    <t xml:space="preserve">Quiz: SimplrAI vs. ChatGPT</t>
  </si>
  <si>
    <t xml:space="preserve">Quiz: SimplrAI vs. Control</t>
  </si>
  <si>
    <t xml:space="preserve">Quiz: ChatGPT vs. Control</t>
  </si>
  <si>
    <t xml:space="preserve">Medium</t>
  </si>
  <si>
    <t xml:space="preserve">Accuracy: SimplrAI vs. ChatGPT (full)</t>
  </si>
  <si>
    <t xml:space="preserve">Small (Cramer's V)</t>
  </si>
  <si>
    <t xml:space="preserve">Helpfulness: SimplrAI vs. ChatGPT</t>
  </si>
  <si>
    <t xml:space="preserve">Trust: SimplrAI vs. ChatGPT</t>
  </si>
  <si>
    <t xml:space="preserve">Large</t>
  </si>
  <si>
    <t xml:space="preserve">Reading difficulty: SimplrAI vs. ChatGPT</t>
  </si>
  <si>
    <t xml:space="preserve">Inter-rater agreement (quiz items)</t>
  </si>
  <si>
    <t xml:space="preserve">κ</t>
  </si>
  <si>
    <t xml:space="preserve">Almost perfect</t>
  </si>
  <si>
    <t xml:space="preserve">Inter-rater agreement (accuracy rubric)</t>
  </si>
  <si>
    <t xml:space="preserve">Substantial</t>
  </si>
  <si>
    <t xml:space="preserve">Cross-site: Country main effect</t>
  </si>
  <si>
    <t xml:space="preserve">1, 81</t>
  </si>
  <si>
    <t xml:space="preserve">Negligible</t>
  </si>
  <si>
    <t xml:space="preserve">Cross-site: Condition main effect</t>
  </si>
  <si>
    <t xml:space="preserve">2, 81</t>
  </si>
  <si>
    <t xml:space="preserve">Large η²ₚ</t>
  </si>
  <si>
    <t xml:space="preserve">Cross-site: Country × Condition</t>
  </si>
  <si>
    <t xml:space="preserve">Version drift: weekly assignment balance</t>
  </si>
  <si>
    <t xml:space="preserve">.62</t>
  </si>
  <si>
    <t xml:space="preserve">Null (good)</t>
  </si>
  <si>
    <t xml:space="preserve">Version drift: Week × Condition on gains</t>
  </si>
  <si>
    <t xml:space="preserve">14, 56</t>
  </si>
  <si>
    <t xml:space="preserve">.64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</si>
</sst>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F3A68"/>
      <name val="Arial"/>
      <family val="0"/>
      <charset val="1"/>
    </font>
    <font>
      <sz val="10"/>
      <color rgb="FF2B2B2B"/>
      <name val="Arial"/>
      <family val="0"/>
      <charset val="1"/>
    </font>
    <font>
      <i val="true"/>
      <sz val="9"/>
      <color rgb="FF6E7A8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B2B2B"/>
      <name val="Arial"/>
      <family val="0"/>
      <charset val="1"/>
    </font>
    <font>
      <sz val="9"/>
      <color rgb="FF6E7A8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68"/>
        <bgColor rgb="FF333399"/>
      </patternFill>
    </fill>
    <fill>
      <patternFill patternType="solid">
        <fgColor rgb="FFE8EAE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  <border diagonalUp="false" diagonalDown="false">
      <left/>
      <right/>
      <top/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3"/>
      <rgbColor rgb="FF6E7A86"/>
      <rgbColor rgb="FF9999FF"/>
      <rgbColor rgb="FF993366"/>
      <rgbColor rgb="FFFFFFCC"/>
      <rgbColor rgb="FFE8EA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68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25.5" hidden="false" customHeight="true" outlineLevel="0" collapsed="false">
      <c r="A1" s="1" t="s">
        <v>0</v>
      </c>
      <c r="B1" s="1"/>
    </row>
    <row r="2" customFormat="false" ht="7.5" hidden="false" customHeight="true" outlineLevel="0" collapsed="false"/>
    <row r="3" customFormat="false" ht="19.5" hidden="false" customHeight="true" outlineLevel="0" collapsed="false">
      <c r="B3" s="2" t="s">
        <v>1</v>
      </c>
    </row>
    <row r="4" customFormat="false" ht="39.75" hidden="false" customHeight="true" outlineLevel="0" collapsed="false">
      <c r="B4" s="3" t="s">
        <v>2</v>
      </c>
    </row>
    <row r="6" customFormat="false" ht="19.5" hidden="false" customHeight="true" outlineLevel="0" collapsed="false">
      <c r="B6" s="2" t="s">
        <v>3</v>
      </c>
    </row>
    <row r="7" customFormat="false" ht="39.75" hidden="false" customHeight="true" outlineLevel="0" collapsed="false">
      <c r="B7" s="3" t="s">
        <v>4</v>
      </c>
    </row>
    <row r="9" customFormat="false" ht="19.5" hidden="false" customHeight="true" outlineLevel="0" collapsed="false">
      <c r="B9" s="2" t="s">
        <v>5</v>
      </c>
    </row>
    <row r="10" customFormat="false" ht="255.75" hidden="false" customHeight="true" outlineLevel="0" collapsed="false">
      <c r="B10" s="3" t="s">
        <v>6</v>
      </c>
    </row>
    <row r="12" customFormat="false" ht="19.5" hidden="false" customHeight="true" outlineLevel="0" collapsed="false">
      <c r="B12" s="2" t="s">
        <v>7</v>
      </c>
    </row>
    <row r="13" customFormat="false" ht="39.75" hidden="false" customHeight="true" outlineLevel="0" collapsed="false">
      <c r="B13" s="3" t="s">
        <v>8</v>
      </c>
    </row>
    <row r="15" customFormat="false" ht="19.5" hidden="false" customHeight="true" outlineLevel="0" collapsed="false">
      <c r="B15" s="2" t="s">
        <v>9</v>
      </c>
    </row>
    <row r="16" customFormat="false" ht="39.75" hidden="false" customHeight="true" outlineLevel="0" collapsed="false">
      <c r="B16" s="3" t="s">
        <v>10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</cols>
  <sheetData>
    <row r="1" customFormat="false" ht="25.5" hidden="false" customHeight="true" outlineLevel="0" collapsed="false">
      <c r="A1" s="1" t="s">
        <v>11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4" t="s">
        <v>12</v>
      </c>
      <c r="B2" s="4"/>
      <c r="C2" s="4"/>
      <c r="D2" s="4"/>
      <c r="E2" s="4"/>
      <c r="F2" s="4"/>
    </row>
    <row r="4" customFormat="false" ht="15" hidden="false" customHeight="false" outlineLevel="0" collapsed="false">
      <c r="A4" s="5" t="s">
        <v>13</v>
      </c>
      <c r="B4" s="5"/>
      <c r="C4" s="5"/>
      <c r="D4" s="5"/>
      <c r="E4" s="5"/>
      <c r="F4" s="5"/>
    </row>
    <row r="5" customFormat="false" ht="21.75" hidden="false" customHeight="true" outlineLevel="0" collapsed="false">
      <c r="A5" s="6" t="s">
        <v>14</v>
      </c>
      <c r="B5" s="6" t="s">
        <v>15</v>
      </c>
      <c r="C5" s="6" t="s">
        <v>16</v>
      </c>
    </row>
    <row r="6" customFormat="false" ht="15" hidden="false" customHeight="false" outlineLevel="0" collapsed="false">
      <c r="A6" s="7" t="s">
        <v>17</v>
      </c>
      <c r="B6" s="8" t="n">
        <v>98</v>
      </c>
      <c r="C6" s="9" t="n">
        <f aca="false">B6/B6</f>
        <v>1</v>
      </c>
    </row>
    <row r="7" customFormat="false" ht="15" hidden="false" customHeight="false" outlineLevel="0" collapsed="false">
      <c r="A7" s="7" t="s">
        <v>18</v>
      </c>
      <c r="B7" s="8" t="n">
        <v>3</v>
      </c>
      <c r="C7" s="9" t="n">
        <f aca="false">B7/B6</f>
        <v>0.0306122448979592</v>
      </c>
    </row>
    <row r="8" customFormat="false" ht="15" hidden="false" customHeight="false" outlineLevel="0" collapsed="false">
      <c r="A8" s="7" t="s">
        <v>19</v>
      </c>
      <c r="B8" s="8" t="n">
        <v>8</v>
      </c>
      <c r="C8" s="9" t="n">
        <f aca="false">B8/B6</f>
        <v>0.0816326530612245</v>
      </c>
    </row>
    <row r="9" customFormat="false" ht="15" hidden="false" customHeight="false" outlineLevel="0" collapsed="false">
      <c r="A9" s="10" t="s">
        <v>20</v>
      </c>
      <c r="B9" s="8" t="n">
        <f aca="false">B6-B7-B8</f>
        <v>87</v>
      </c>
      <c r="C9" s="9" t="n">
        <f aca="false">B9/B6</f>
        <v>0.887755102040816</v>
      </c>
    </row>
    <row r="11" customFormat="false" ht="15" hidden="false" customHeight="false" outlineLevel="0" collapsed="false">
      <c r="A11" s="5" t="s">
        <v>21</v>
      </c>
      <c r="B11" s="5"/>
      <c r="C11" s="5"/>
      <c r="D11" s="5"/>
      <c r="E11" s="5"/>
      <c r="F11" s="5"/>
    </row>
    <row r="12" customFormat="false" ht="21.75" hidden="false" customHeight="true" outlineLevel="0" collapsed="false">
      <c r="A12" s="6" t="s">
        <v>22</v>
      </c>
      <c r="B12" s="6" t="s">
        <v>23</v>
      </c>
      <c r="C12" s="6" t="s">
        <v>24</v>
      </c>
      <c r="D12" s="6" t="s">
        <v>25</v>
      </c>
      <c r="E12" s="6" t="s">
        <v>26</v>
      </c>
      <c r="F12" s="6" t="s">
        <v>27</v>
      </c>
    </row>
    <row r="13" customFormat="false" ht="15" hidden="false" customHeight="false" outlineLevel="0" collapsed="false">
      <c r="A13" s="7" t="s">
        <v>28</v>
      </c>
      <c r="B13" s="8" t="n">
        <v>29</v>
      </c>
      <c r="C13" s="9" t="n">
        <f aca="false">B13/$B$16</f>
        <v>0.333333333333333</v>
      </c>
      <c r="D13" s="11" t="n">
        <v>12.4</v>
      </c>
      <c r="E13" s="9" t="n">
        <v>0.52</v>
      </c>
      <c r="F13" s="9" t="n">
        <v>0.45</v>
      </c>
    </row>
    <row r="14" customFormat="false" ht="15" hidden="false" customHeight="false" outlineLevel="0" collapsed="false">
      <c r="A14" s="7" t="s">
        <v>29</v>
      </c>
      <c r="B14" s="8" t="n">
        <v>35</v>
      </c>
      <c r="C14" s="9" t="n">
        <f aca="false">B14/$B$16</f>
        <v>0.402298850574713</v>
      </c>
      <c r="D14" s="11" t="n">
        <v>16.1</v>
      </c>
      <c r="E14" s="9" t="n">
        <v>0.49</v>
      </c>
      <c r="F14" s="9" t="n">
        <v>0.46</v>
      </c>
    </row>
    <row r="15" customFormat="false" ht="15" hidden="false" customHeight="false" outlineLevel="0" collapsed="false">
      <c r="A15" s="7" t="s">
        <v>30</v>
      </c>
      <c r="B15" s="8" t="n">
        <v>23</v>
      </c>
      <c r="C15" s="9" t="n">
        <f aca="false">B15/$B$16</f>
        <v>0.264367816091954</v>
      </c>
      <c r="D15" s="11" t="n">
        <v>20.2</v>
      </c>
      <c r="E15" s="9" t="n">
        <v>0.43</v>
      </c>
      <c r="F15" s="9" t="n">
        <v>0.52</v>
      </c>
    </row>
    <row r="16" customFormat="false" ht="15" hidden="false" customHeight="false" outlineLevel="0" collapsed="false">
      <c r="A16" s="10" t="s">
        <v>31</v>
      </c>
      <c r="B16" s="8" t="n">
        <f aca="false">SUM(B13:B15)</f>
        <v>87</v>
      </c>
      <c r="C16" s="9" t="n">
        <f aca="false">SUM(C13:C15)</f>
        <v>1</v>
      </c>
      <c r="D16" s="8" t="n">
        <f aca="false">SUMPRODUCT(B13:B15,D13:D15)/B16</f>
        <v>15.9505747126437</v>
      </c>
      <c r="E16" s="9" t="n">
        <f aca="false">SUMPRODUCT(B13:B15,E13:E15)/B16</f>
        <v>0.484137931034483</v>
      </c>
      <c r="F16" s="9" t="n">
        <f aca="false">SUMPRODUCT(B13:B15,F13:F15)/B16</f>
        <v>0.472528735632184</v>
      </c>
    </row>
    <row r="18" customFormat="false" ht="15" hidden="false" customHeight="false" outlineLevel="0" collapsed="false">
      <c r="A18" s="5" t="s">
        <v>32</v>
      </c>
      <c r="B18" s="5"/>
      <c r="C18" s="5"/>
      <c r="D18" s="5"/>
      <c r="E18" s="5"/>
      <c r="F18" s="5"/>
    </row>
    <row r="19" customFormat="false" ht="21.75" hidden="false" customHeight="true" outlineLevel="0" collapsed="false">
      <c r="A19" s="6" t="s">
        <v>33</v>
      </c>
      <c r="B19" s="6" t="s">
        <v>23</v>
      </c>
      <c r="C19" s="6" t="s">
        <v>24</v>
      </c>
      <c r="D19" s="6" t="s">
        <v>34</v>
      </c>
      <c r="E19" s="6" t="s">
        <v>35</v>
      </c>
    </row>
    <row r="20" customFormat="false" ht="15" hidden="false" customHeight="false" outlineLevel="0" collapsed="false">
      <c r="A20" s="7" t="s">
        <v>36</v>
      </c>
      <c r="B20" s="8" t="n">
        <v>46</v>
      </c>
      <c r="C20" s="9" t="n">
        <f aca="false">B20/$B$22</f>
        <v>0.528735632183908</v>
      </c>
      <c r="D20" s="8" t="s">
        <v>37</v>
      </c>
      <c r="E20" s="9" t="n">
        <v>0.74</v>
      </c>
    </row>
    <row r="21" customFormat="false" ht="15" hidden="false" customHeight="false" outlineLevel="0" collapsed="false">
      <c r="A21" s="7" t="s">
        <v>38</v>
      </c>
      <c r="B21" s="8" t="n">
        <v>41</v>
      </c>
      <c r="C21" s="9" t="n">
        <f aca="false">B21/$B$22</f>
        <v>0.471264367816092</v>
      </c>
      <c r="D21" s="8" t="s">
        <v>39</v>
      </c>
      <c r="E21" s="9" t="n">
        <v>0.68</v>
      </c>
    </row>
    <row r="22" customFormat="false" ht="15" hidden="false" customHeight="false" outlineLevel="0" collapsed="false">
      <c r="A22" s="10" t="s">
        <v>40</v>
      </c>
      <c r="B22" s="8" t="n">
        <f aca="false">SUM(B20:B21)</f>
        <v>87</v>
      </c>
      <c r="C22" s="9" t="n">
        <f aca="false">SUM(C20:C21)</f>
        <v>1</v>
      </c>
      <c r="D22" s="8" t="s">
        <v>41</v>
      </c>
      <c r="E22" s="9" t="n">
        <f aca="false">SUMPRODUCT(B20:B21,E20:E21)/B22</f>
        <v>0.711724137931035</v>
      </c>
    </row>
    <row r="24" customFormat="false" ht="15" hidden="false" customHeight="false" outlineLevel="0" collapsed="false">
      <c r="A24" s="5" t="s">
        <v>42</v>
      </c>
      <c r="B24" s="5"/>
      <c r="C24" s="5"/>
      <c r="D24" s="5"/>
      <c r="E24" s="5"/>
      <c r="F24" s="5"/>
    </row>
    <row r="25" customFormat="false" ht="21.75" hidden="false" customHeight="true" outlineLevel="0" collapsed="false">
      <c r="A25" s="6" t="s">
        <v>43</v>
      </c>
      <c r="B25" s="6" t="s">
        <v>23</v>
      </c>
      <c r="C25" s="6" t="s">
        <v>24</v>
      </c>
      <c r="D25" s="6" t="s">
        <v>44</v>
      </c>
    </row>
    <row r="26" customFormat="false" ht="15" hidden="false" customHeight="false" outlineLevel="0" collapsed="false">
      <c r="A26" s="7" t="s">
        <v>45</v>
      </c>
      <c r="B26" s="8" t="n">
        <v>30</v>
      </c>
      <c r="C26" s="9" t="n">
        <f aca="false">B26/$B$29</f>
        <v>0.344827586206897</v>
      </c>
      <c r="D26" s="8" t="s">
        <v>46</v>
      </c>
    </row>
    <row r="27" customFormat="false" ht="15" hidden="false" customHeight="false" outlineLevel="0" collapsed="false">
      <c r="A27" s="7" t="s">
        <v>47</v>
      </c>
      <c r="B27" s="8" t="n">
        <v>29</v>
      </c>
      <c r="C27" s="9" t="n">
        <f aca="false">B27/$B$29</f>
        <v>0.333333333333333</v>
      </c>
      <c r="D27" s="8" t="s">
        <v>48</v>
      </c>
    </row>
    <row r="28" customFormat="false" ht="15" hidden="false" customHeight="false" outlineLevel="0" collapsed="false">
      <c r="A28" s="7" t="s">
        <v>49</v>
      </c>
      <c r="B28" s="8" t="n">
        <v>28</v>
      </c>
      <c r="C28" s="9" t="n">
        <f aca="false">B28/$B$29</f>
        <v>0.32183908045977</v>
      </c>
      <c r="D28" s="8" t="s">
        <v>50</v>
      </c>
    </row>
    <row r="29" customFormat="false" ht="15" hidden="false" customHeight="false" outlineLevel="0" collapsed="false">
      <c r="A29" s="10" t="s">
        <v>40</v>
      </c>
      <c r="B29" s="8" t="n">
        <f aca="false">SUM(B26:B28)</f>
        <v>87</v>
      </c>
      <c r="C29" s="9" t="n">
        <f aca="false">SUM(C26:C28)</f>
        <v>1</v>
      </c>
      <c r="D29" s="8"/>
    </row>
  </sheetData>
  <mergeCells count="6">
    <mergeCell ref="A1:F1"/>
    <mergeCell ref="A2:F2"/>
    <mergeCell ref="A4:F4"/>
    <mergeCell ref="A11:F11"/>
    <mergeCell ref="A18:F18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4" t="s">
        <v>52</v>
      </c>
      <c r="B2" s="4"/>
      <c r="C2" s="4"/>
      <c r="D2" s="4"/>
      <c r="E2" s="4"/>
      <c r="F2" s="4"/>
      <c r="G2" s="4"/>
    </row>
    <row r="4" customFormat="false" ht="15" hidden="false" customHeight="false" outlineLevel="0" collapsed="false">
      <c r="A4" s="5" t="s">
        <v>53</v>
      </c>
      <c r="B4" s="5"/>
      <c r="C4" s="5"/>
      <c r="D4" s="5"/>
      <c r="E4" s="5"/>
      <c r="F4" s="5"/>
      <c r="G4" s="5"/>
    </row>
    <row r="5" customFormat="false" ht="21.75" hidden="false" customHeight="true" outlineLevel="0" collapsed="false">
      <c r="A5" s="6" t="s">
        <v>54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</row>
    <row r="6" customFormat="false" ht="15" hidden="false" customHeight="false" outlineLevel="0" collapsed="false">
      <c r="A6" s="7" t="s">
        <v>61</v>
      </c>
      <c r="B6" s="11" t="n">
        <v>6.41</v>
      </c>
      <c r="C6" s="11" t="n">
        <v>0.31</v>
      </c>
      <c r="D6" s="11" t="n">
        <v>4.21</v>
      </c>
      <c r="E6" s="11" t="n">
        <v>0.49</v>
      </c>
      <c r="F6" s="11" t="n">
        <v>4.48</v>
      </c>
      <c r="G6" s="11" t="n">
        <v>0.42</v>
      </c>
    </row>
    <row r="7" customFormat="false" ht="15" hidden="false" customHeight="false" outlineLevel="0" collapsed="false">
      <c r="A7" s="7" t="s">
        <v>62</v>
      </c>
      <c r="B7" s="11" t="n">
        <v>6.13</v>
      </c>
      <c r="C7" s="11" t="n">
        <v>0.38</v>
      </c>
      <c r="D7" s="11" t="n">
        <v>4.86</v>
      </c>
      <c r="E7" s="11" t="n">
        <v>0.52</v>
      </c>
      <c r="F7" s="11" t="n">
        <v>5.02</v>
      </c>
      <c r="G7" s="11" t="n">
        <v>0.51</v>
      </c>
    </row>
    <row r="8" customFormat="false" ht="15" hidden="false" customHeight="false" outlineLevel="0" collapsed="false">
      <c r="A8" s="7" t="s">
        <v>63</v>
      </c>
      <c r="B8" s="11" t="n">
        <v>5.87</v>
      </c>
      <c r="C8" s="11" t="n">
        <v>0.42</v>
      </c>
      <c r="D8" s="11" t="n">
        <v>5.39</v>
      </c>
      <c r="E8" s="11" t="n">
        <v>0.44</v>
      </c>
      <c r="F8" s="11" t="n">
        <v>5.31</v>
      </c>
      <c r="G8" s="11" t="n">
        <v>0.43</v>
      </c>
    </row>
    <row r="9" customFormat="false" ht="15" hidden="false" customHeight="false" outlineLevel="0" collapsed="false">
      <c r="A9" s="10" t="s">
        <v>64</v>
      </c>
      <c r="B9" s="11" t="n">
        <v>6.13</v>
      </c>
      <c r="C9" s="11" t="n">
        <v>0.42</v>
      </c>
      <c r="D9" s="11" t="n">
        <v>4.83</v>
      </c>
      <c r="E9" s="11" t="n">
        <v>0.51</v>
      </c>
      <c r="F9" s="11" t="n">
        <v>4.94</v>
      </c>
      <c r="G9" s="11" t="n">
        <v>0.49</v>
      </c>
    </row>
    <row r="11" customFormat="false" ht="15" hidden="false" customHeight="false" outlineLevel="0" collapsed="false">
      <c r="A11" s="5" t="s">
        <v>65</v>
      </c>
      <c r="B11" s="5"/>
      <c r="C11" s="5"/>
      <c r="D11" s="5"/>
      <c r="E11" s="5"/>
      <c r="F11" s="5"/>
      <c r="G11" s="5"/>
    </row>
    <row r="12" customFormat="false" ht="21.75" hidden="false" customHeight="true" outlineLevel="0" collapsed="false">
      <c r="A12" s="6" t="s">
        <v>54</v>
      </c>
      <c r="B12" s="6" t="s">
        <v>66</v>
      </c>
      <c r="C12" s="6" t="s">
        <v>67</v>
      </c>
      <c r="D12" s="6" t="s">
        <v>68</v>
      </c>
      <c r="E12" s="6" t="s">
        <v>69</v>
      </c>
      <c r="F12" s="6" t="s">
        <v>70</v>
      </c>
      <c r="G12" s="6" t="s">
        <v>71</v>
      </c>
    </row>
    <row r="13" customFormat="false" ht="15" hidden="false" customHeight="false" outlineLevel="0" collapsed="false">
      <c r="A13" s="7" t="s">
        <v>28</v>
      </c>
      <c r="B13" s="8" t="n">
        <f aca="false">B6-D6</f>
        <v>2.2</v>
      </c>
      <c r="C13" s="8" t="n">
        <f aca="false">SQRT((C6^2+E6^2)/2)</f>
        <v>0.41</v>
      </c>
      <c r="D13" s="8" t="n">
        <f aca="false">B13/C13</f>
        <v>5.36585365853659</v>
      </c>
      <c r="E13" s="8" t="n">
        <f aca="false">B13/(C13/SQRT(29))</f>
        <v>28.8960062821851</v>
      </c>
      <c r="F13" s="8" t="n">
        <v>28</v>
      </c>
      <c r="G13" s="8" t="s">
        <v>72</v>
      </c>
    </row>
    <row r="14" customFormat="false" ht="15" hidden="false" customHeight="false" outlineLevel="0" collapsed="false">
      <c r="A14" s="7" t="s">
        <v>29</v>
      </c>
      <c r="B14" s="8" t="n">
        <f aca="false">B7-D7</f>
        <v>1.27</v>
      </c>
      <c r="C14" s="8" t="n">
        <f aca="false">SQRT((C7^2+E7^2)/2)</f>
        <v>0.455411901469428</v>
      </c>
      <c r="D14" s="8" t="n">
        <f aca="false">B14/C14</f>
        <v>2.78868425682822</v>
      </c>
      <c r="E14" s="8" t="n">
        <f aca="false">B14/(C14/SQRT(35))</f>
        <v>16.4980785532696</v>
      </c>
      <c r="F14" s="8" t="n">
        <v>34</v>
      </c>
      <c r="G14" s="8" t="s">
        <v>72</v>
      </c>
    </row>
    <row r="15" customFormat="false" ht="15" hidden="false" customHeight="false" outlineLevel="0" collapsed="false">
      <c r="A15" s="7" t="s">
        <v>30</v>
      </c>
      <c r="B15" s="8" t="n">
        <f aca="false">B8-D8</f>
        <v>0.48</v>
      </c>
      <c r="C15" s="8" t="n">
        <f aca="false">SQRT((C8^2+E8^2)/2)</f>
        <v>0.430116263352131</v>
      </c>
      <c r="D15" s="8" t="n">
        <f aca="false">B15/C15</f>
        <v>1.11597733194067</v>
      </c>
      <c r="E15" s="8" t="n">
        <f aca="false">B15/(C15/SQRT(23))</f>
        <v>5.35203926782347</v>
      </c>
      <c r="F15" s="8" t="n">
        <v>22</v>
      </c>
      <c r="G15" s="8" t="s">
        <v>73</v>
      </c>
    </row>
    <row r="16" customFormat="false" ht="15" hidden="false" customHeight="false" outlineLevel="0" collapsed="false">
      <c r="A16" s="10" t="s">
        <v>74</v>
      </c>
      <c r="B16" s="11" t="n">
        <v>1.3</v>
      </c>
      <c r="C16" s="11" t="n">
        <v>0.92</v>
      </c>
      <c r="D16" s="11" t="n">
        <v>1.42</v>
      </c>
      <c r="E16" s="11" t="n">
        <v>12.41</v>
      </c>
      <c r="F16" s="8" t="n">
        <v>85</v>
      </c>
      <c r="G16" s="8" t="s">
        <v>72</v>
      </c>
    </row>
    <row r="18" customFormat="false" ht="15" hidden="false" customHeight="false" outlineLevel="0" collapsed="false">
      <c r="A18" s="12" t="s">
        <v>75</v>
      </c>
      <c r="B18" s="12"/>
      <c r="C18" s="12"/>
      <c r="D18" s="12"/>
      <c r="E18" s="12"/>
      <c r="F18" s="12"/>
      <c r="G18" s="12"/>
    </row>
  </sheetData>
  <mergeCells count="5">
    <mergeCell ref="A1:G1"/>
    <mergeCell ref="A2:G2"/>
    <mergeCell ref="A4:G4"/>
    <mergeCell ref="A11:G11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4" t="s">
        <v>77</v>
      </c>
      <c r="B2" s="4"/>
      <c r="C2" s="4"/>
      <c r="D2" s="4"/>
      <c r="E2" s="4"/>
      <c r="F2" s="4"/>
      <c r="G2" s="4"/>
    </row>
    <row r="4" customFormat="false" ht="15" hidden="false" customHeight="false" outlineLevel="0" collapsed="false">
      <c r="A4" s="5" t="s">
        <v>78</v>
      </c>
      <c r="B4" s="5"/>
      <c r="C4" s="5"/>
      <c r="D4" s="5"/>
      <c r="E4" s="5"/>
      <c r="F4" s="5"/>
      <c r="G4" s="5"/>
    </row>
    <row r="5" customFormat="false" ht="21.75" hidden="false" customHeight="true" outlineLevel="0" collapsed="false">
      <c r="A5" s="6" t="s">
        <v>43</v>
      </c>
      <c r="B5" s="6" t="s">
        <v>79</v>
      </c>
      <c r="C5" s="6" t="s">
        <v>80</v>
      </c>
      <c r="D5" s="6" t="s">
        <v>81</v>
      </c>
      <c r="E5" s="6" t="s">
        <v>82</v>
      </c>
      <c r="F5" s="6" t="s">
        <v>83</v>
      </c>
      <c r="G5" s="6" t="s">
        <v>84</v>
      </c>
    </row>
    <row r="6" customFormat="false" ht="15" hidden="false" customHeight="false" outlineLevel="0" collapsed="false">
      <c r="A6" s="7" t="s">
        <v>85</v>
      </c>
      <c r="B6" s="11" t="n">
        <v>62.4</v>
      </c>
      <c r="C6" s="11" t="n">
        <v>3.1</v>
      </c>
      <c r="D6" s="11" t="n">
        <v>78.6</v>
      </c>
      <c r="E6" s="11" t="n">
        <v>2.8</v>
      </c>
      <c r="F6" s="8" t="n">
        <f aca="false">D6-B6</f>
        <v>16.2</v>
      </c>
      <c r="G6" s="11" t="n">
        <v>4.3</v>
      </c>
    </row>
    <row r="7" customFormat="false" ht="15" hidden="false" customHeight="false" outlineLevel="0" collapsed="false">
      <c r="A7" s="7" t="s">
        <v>86</v>
      </c>
      <c r="B7" s="11" t="n">
        <v>63.1</v>
      </c>
      <c r="C7" s="11" t="n">
        <v>3.4</v>
      </c>
      <c r="D7" s="11" t="n">
        <v>71.2</v>
      </c>
      <c r="E7" s="11" t="n">
        <v>3.3</v>
      </c>
      <c r="F7" s="8" t="n">
        <f aca="false">D7-B7</f>
        <v>8.1</v>
      </c>
      <c r="G7" s="11" t="n">
        <v>4.7</v>
      </c>
    </row>
    <row r="8" customFormat="false" ht="15" hidden="false" customHeight="false" outlineLevel="0" collapsed="false">
      <c r="A8" s="7" t="s">
        <v>87</v>
      </c>
      <c r="B8" s="11" t="n">
        <v>61.8</v>
      </c>
      <c r="C8" s="11" t="n">
        <v>3.2</v>
      </c>
      <c r="D8" s="11" t="n">
        <v>65.4</v>
      </c>
      <c r="E8" s="11" t="n">
        <v>3.1</v>
      </c>
      <c r="F8" s="8" t="n">
        <f aca="false">D8-B8</f>
        <v>3.60000000000001</v>
      </c>
      <c r="G8" s="11" t="n">
        <v>3.9</v>
      </c>
    </row>
    <row r="10" customFormat="false" ht="15" hidden="false" customHeight="false" outlineLevel="0" collapsed="false">
      <c r="A10" s="5" t="s">
        <v>88</v>
      </c>
      <c r="B10" s="5"/>
      <c r="C10" s="5"/>
      <c r="D10" s="5"/>
      <c r="E10" s="5"/>
      <c r="F10" s="5"/>
      <c r="G10" s="5"/>
    </row>
    <row r="11" customFormat="false" ht="21.75" hidden="false" customHeight="true" outlineLevel="0" collapsed="false">
      <c r="A11" s="6" t="s">
        <v>89</v>
      </c>
      <c r="B11" s="6" t="s">
        <v>90</v>
      </c>
      <c r="C11" s="6" t="s">
        <v>70</v>
      </c>
      <c r="D11" s="6" t="s">
        <v>91</v>
      </c>
      <c r="E11" s="6" t="s">
        <v>92</v>
      </c>
      <c r="F11" s="6" t="s">
        <v>71</v>
      </c>
      <c r="G11" s="6" t="s">
        <v>93</v>
      </c>
    </row>
    <row r="12" customFormat="false" ht="15" hidden="false" customHeight="false" outlineLevel="0" collapsed="false">
      <c r="A12" s="7" t="s">
        <v>94</v>
      </c>
      <c r="B12" s="11" t="n">
        <v>829.4</v>
      </c>
      <c r="C12" s="8" t="n">
        <v>2</v>
      </c>
      <c r="D12" s="8" t="n">
        <f aca="false">B12/C12</f>
        <v>414.7</v>
      </c>
      <c r="E12" s="11" t="n">
        <v>22.3</v>
      </c>
      <c r="F12" s="8" t="s">
        <v>72</v>
      </c>
      <c r="G12" s="11" t="n">
        <v>0.35</v>
      </c>
    </row>
    <row r="13" customFormat="false" ht="15" hidden="false" customHeight="false" outlineLevel="0" collapsed="false">
      <c r="A13" s="7" t="s">
        <v>95</v>
      </c>
      <c r="B13" s="11" t="n">
        <v>1564.2</v>
      </c>
      <c r="C13" s="8" t="n">
        <v>84</v>
      </c>
      <c r="D13" s="8" t="n">
        <f aca="false">B13/C13</f>
        <v>18.6214285714286</v>
      </c>
      <c r="E13" s="8"/>
      <c r="F13" s="8"/>
      <c r="G13" s="8"/>
    </row>
    <row r="14" customFormat="false" ht="15" hidden="false" customHeight="false" outlineLevel="0" collapsed="false">
      <c r="A14" s="10" t="s">
        <v>40</v>
      </c>
      <c r="B14" s="8" t="n">
        <f aca="false">B12+B13</f>
        <v>2393.6</v>
      </c>
      <c r="C14" s="8" t="n">
        <f aca="false">C12+C13</f>
        <v>86</v>
      </c>
      <c r="D14" s="8"/>
      <c r="E14" s="8"/>
      <c r="F14" s="8"/>
      <c r="G14" s="8"/>
    </row>
    <row r="16" customFormat="false" ht="15" hidden="false" customHeight="false" outlineLevel="0" collapsed="false">
      <c r="A16" s="5" t="s">
        <v>96</v>
      </c>
      <c r="B16" s="5"/>
      <c r="C16" s="5"/>
      <c r="D16" s="5"/>
      <c r="E16" s="5"/>
      <c r="F16" s="5"/>
      <c r="G16" s="5"/>
    </row>
    <row r="17" customFormat="false" ht="21.75" hidden="false" customHeight="true" outlineLevel="0" collapsed="false">
      <c r="A17" s="6" t="s">
        <v>97</v>
      </c>
      <c r="B17" s="6" t="s">
        <v>98</v>
      </c>
      <c r="C17" s="6" t="s">
        <v>67</v>
      </c>
      <c r="D17" s="6" t="s">
        <v>68</v>
      </c>
      <c r="E17" s="6" t="s">
        <v>69</v>
      </c>
      <c r="F17" s="6" t="s">
        <v>70</v>
      </c>
      <c r="G17" s="6" t="s">
        <v>71</v>
      </c>
    </row>
    <row r="18" customFormat="false" ht="15" hidden="false" customHeight="false" outlineLevel="0" collapsed="false">
      <c r="A18" s="7" t="s">
        <v>99</v>
      </c>
      <c r="B18" s="8" t="n">
        <f aca="false">F6-F7</f>
        <v>8.09999999999999</v>
      </c>
      <c r="C18" s="8" t="n">
        <f aca="false">SQRT((G6^2+G7^2)/2)</f>
        <v>4.50444225182208</v>
      </c>
      <c r="D18" s="8" t="n">
        <f aca="false">B18/C18</f>
        <v>1.79822485163917</v>
      </c>
      <c r="E18" s="11" t="n">
        <v>4.81</v>
      </c>
      <c r="F18" s="8" t="n">
        <v>57</v>
      </c>
      <c r="G18" s="8" t="s">
        <v>72</v>
      </c>
    </row>
    <row r="19" customFormat="false" ht="15" hidden="false" customHeight="false" outlineLevel="0" collapsed="false">
      <c r="A19" s="7" t="s">
        <v>100</v>
      </c>
      <c r="B19" s="8" t="n">
        <f aca="false">F6-F8</f>
        <v>12.6</v>
      </c>
      <c r="C19" s="8" t="n">
        <f aca="false">SQRT((G6^2+G8^2)/2)</f>
        <v>4.10487515035476</v>
      </c>
      <c r="D19" s="8" t="n">
        <f aca="false">B19/C19</f>
        <v>3.0695208839448</v>
      </c>
      <c r="E19" s="11" t="n">
        <v>6.71</v>
      </c>
      <c r="F19" s="8" t="n">
        <v>56</v>
      </c>
      <c r="G19" s="8" t="s">
        <v>72</v>
      </c>
    </row>
    <row r="20" customFormat="false" ht="15" hidden="false" customHeight="false" outlineLevel="0" collapsed="false">
      <c r="A20" s="7" t="s">
        <v>101</v>
      </c>
      <c r="B20" s="8" t="n">
        <f aca="false">F7-F8</f>
        <v>4.49999999999999</v>
      </c>
      <c r="C20" s="8" t="n">
        <f aca="false">SQRT((G7^2+G8^2)/2)</f>
        <v>4.31856457633784</v>
      </c>
      <c r="D20" s="8" t="n">
        <f aca="false">B20/C20</f>
        <v>1.04201290045685</v>
      </c>
      <c r="E20" s="11" t="n">
        <v>2.46</v>
      </c>
      <c r="F20" s="8" t="n">
        <v>55</v>
      </c>
      <c r="G20" s="8" t="s">
        <v>102</v>
      </c>
    </row>
    <row r="22" customFormat="false" ht="15" hidden="false" customHeight="false" outlineLevel="0" collapsed="false">
      <c r="A22" s="12" t="s">
        <v>103</v>
      </c>
      <c r="B22" s="12"/>
      <c r="C22" s="12"/>
      <c r="D22" s="12"/>
      <c r="E22" s="12"/>
      <c r="F22" s="12"/>
      <c r="G22" s="12"/>
    </row>
  </sheetData>
  <mergeCells count="6">
    <mergeCell ref="A1:G1"/>
    <mergeCell ref="A2:G2"/>
    <mergeCell ref="A4:G4"/>
    <mergeCell ref="A10:G10"/>
    <mergeCell ref="A16:G16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5" min="3" style="0" width="22"/>
  </cols>
  <sheetData>
    <row r="1" customFormat="false" ht="25.5" hidden="false" customHeight="true" outlineLevel="0" collapsed="false">
      <c r="A1" s="1" t="s">
        <v>104</v>
      </c>
      <c r="B1" s="1"/>
      <c r="C1" s="1"/>
      <c r="D1" s="1"/>
      <c r="E1" s="1"/>
    </row>
    <row r="2" customFormat="false" ht="18" hidden="false" customHeight="true" outlineLevel="0" collapsed="false">
      <c r="A2" s="4" t="s">
        <v>105</v>
      </c>
      <c r="B2" s="4"/>
      <c r="C2" s="4"/>
      <c r="D2" s="4"/>
      <c r="E2" s="4"/>
    </row>
    <row r="4" customFormat="false" ht="15" hidden="false" customHeight="false" outlineLevel="0" collapsed="false">
      <c r="A4" s="5" t="s">
        <v>106</v>
      </c>
      <c r="B4" s="5"/>
      <c r="C4" s="5"/>
      <c r="D4" s="5"/>
      <c r="E4" s="5"/>
    </row>
    <row r="5" customFormat="false" ht="21.75" hidden="false" customHeight="true" outlineLevel="0" collapsed="false">
      <c r="A5" s="6" t="s">
        <v>107</v>
      </c>
      <c r="B5" s="6" t="s">
        <v>108</v>
      </c>
      <c r="C5" s="6" t="s">
        <v>109</v>
      </c>
      <c r="D5" s="6" t="s">
        <v>110</v>
      </c>
      <c r="E5" s="6" t="s">
        <v>111</v>
      </c>
    </row>
    <row r="6" customFormat="false" ht="15" hidden="false" customHeight="false" outlineLevel="0" collapsed="false">
      <c r="A6" s="7" t="n">
        <v>6</v>
      </c>
      <c r="B6" s="11" t="n">
        <v>6.92</v>
      </c>
      <c r="C6" s="8" t="n">
        <f aca="false">B6-A6</f>
        <v>0.92</v>
      </c>
      <c r="D6" s="11" t="n">
        <v>10.23</v>
      </c>
      <c r="E6" s="8" t="n">
        <f aca="false">D6-A6</f>
        <v>4.23</v>
      </c>
    </row>
    <row r="7" customFormat="false" ht="15" hidden="false" customHeight="false" outlineLevel="0" collapsed="false">
      <c r="A7" s="7" t="n">
        <v>7</v>
      </c>
      <c r="B7" s="11" t="n">
        <v>6.76</v>
      </c>
      <c r="C7" s="8" t="n">
        <f aca="false">B7-A7</f>
        <v>-0.24</v>
      </c>
      <c r="D7" s="11" t="n">
        <v>9.94</v>
      </c>
      <c r="E7" s="8" t="n">
        <f aca="false">D7-A7</f>
        <v>2.94</v>
      </c>
    </row>
    <row r="8" customFormat="false" ht="15" hidden="false" customHeight="false" outlineLevel="0" collapsed="false">
      <c r="A8" s="7" t="n">
        <v>8</v>
      </c>
      <c r="B8" s="11" t="n">
        <v>8.01</v>
      </c>
      <c r="C8" s="8" t="n">
        <f aca="false">B8-A8</f>
        <v>0.00999999999999979</v>
      </c>
      <c r="D8" s="11" t="n">
        <v>11.41</v>
      </c>
      <c r="E8" s="8" t="n">
        <f aca="false">D8-A8</f>
        <v>3.41</v>
      </c>
    </row>
    <row r="9" customFormat="false" ht="15" hidden="false" customHeight="false" outlineLevel="0" collapsed="false">
      <c r="A9" s="7" t="n">
        <v>9</v>
      </c>
      <c r="B9" s="11" t="n">
        <v>9.21</v>
      </c>
      <c r="C9" s="8" t="n">
        <f aca="false">B9-A9</f>
        <v>0.210000000000001</v>
      </c>
      <c r="D9" s="11" t="n">
        <v>13.13</v>
      </c>
      <c r="E9" s="8" t="n">
        <f aca="false">D9-A9</f>
        <v>4.13</v>
      </c>
    </row>
    <row r="10" customFormat="false" ht="15" hidden="false" customHeight="false" outlineLevel="0" collapsed="false">
      <c r="A10" s="7" t="n">
        <v>10</v>
      </c>
      <c r="B10" s="11" t="n">
        <v>9.58</v>
      </c>
      <c r="C10" s="8" t="n">
        <f aca="false">B10-A10</f>
        <v>-0.42</v>
      </c>
      <c r="D10" s="11" t="n">
        <v>13.27</v>
      </c>
      <c r="E10" s="8" t="n">
        <f aca="false">D10-A10</f>
        <v>3.27</v>
      </c>
    </row>
    <row r="11" customFormat="false" ht="15" hidden="false" customHeight="false" outlineLevel="0" collapsed="false">
      <c r="A11" s="7" t="n">
        <v>11</v>
      </c>
      <c r="B11" s="11" t="n">
        <v>11.04</v>
      </c>
      <c r="C11" s="8" t="n">
        <f aca="false">B11-A11</f>
        <v>0.0399999999999992</v>
      </c>
      <c r="D11" s="11" t="n">
        <v>14.33</v>
      </c>
      <c r="E11" s="8" t="n">
        <f aca="false">D11-A11</f>
        <v>3.33</v>
      </c>
    </row>
    <row r="12" customFormat="false" ht="15" hidden="false" customHeight="false" outlineLevel="0" collapsed="false">
      <c r="A12" s="7" t="n">
        <v>12</v>
      </c>
      <c r="B12" s="11" t="n">
        <v>12.01</v>
      </c>
      <c r="C12" s="8" t="n">
        <f aca="false">B12-A12</f>
        <v>0.00999999999999979</v>
      </c>
      <c r="D12" s="11" t="n">
        <v>14.01</v>
      </c>
      <c r="E12" s="8" t="n">
        <f aca="false">D12-A12</f>
        <v>2.01</v>
      </c>
    </row>
    <row r="13" customFormat="false" ht="15" hidden="false" customHeight="false" outlineLevel="0" collapsed="false">
      <c r="A13" s="7" t="n">
        <v>13</v>
      </c>
      <c r="B13" s="11" t="n">
        <v>12.07</v>
      </c>
      <c r="C13" s="8" t="n">
        <f aca="false">B13-A13</f>
        <v>-0.93</v>
      </c>
      <c r="D13" s="11" t="n">
        <v>16</v>
      </c>
      <c r="E13" s="8" t="n">
        <f aca="false">D13-A13</f>
        <v>3</v>
      </c>
    </row>
    <row r="14" customFormat="false" ht="15" hidden="false" customHeight="false" outlineLevel="0" collapsed="false">
      <c r="A14" s="7" t="n">
        <v>14</v>
      </c>
      <c r="B14" s="11" t="n">
        <v>14.56</v>
      </c>
      <c r="C14" s="8" t="n">
        <f aca="false">B14-A14</f>
        <v>0.560000000000001</v>
      </c>
      <c r="D14" s="11" t="n">
        <v>16</v>
      </c>
      <c r="E14" s="8" t="n">
        <f aca="false">D14-A14</f>
        <v>2</v>
      </c>
    </row>
    <row r="16" customFormat="false" ht="15" hidden="false" customHeight="false" outlineLevel="0" collapsed="false">
      <c r="A16" s="5" t="s">
        <v>112</v>
      </c>
      <c r="B16" s="5"/>
      <c r="C16" s="5"/>
      <c r="D16" s="5"/>
      <c r="E16" s="5"/>
    </row>
    <row r="17" customFormat="false" ht="21.75" hidden="false" customHeight="true" outlineLevel="0" collapsed="false">
      <c r="A17" s="6" t="s">
        <v>113</v>
      </c>
      <c r="B17" s="6" t="s">
        <v>45</v>
      </c>
      <c r="C17" s="6" t="s">
        <v>114</v>
      </c>
      <c r="D17" s="6"/>
      <c r="E17" s="6"/>
    </row>
    <row r="18" customFormat="false" ht="23.85" hidden="false" customHeight="false" outlineLevel="0" collapsed="false">
      <c r="A18" s="10" t="s">
        <v>115</v>
      </c>
      <c r="B18" s="8" t="n">
        <f aca="false">SUMPRODUCT(ABS(C6:C14))/9</f>
        <v>0.371111111111111</v>
      </c>
      <c r="C18" s="8" t="n">
        <f aca="false">SUMPRODUCT(ABS(E6:E14))/9</f>
        <v>3.14666666666667</v>
      </c>
      <c r="D18" s="8"/>
      <c r="E18" s="8"/>
    </row>
    <row r="19" customFormat="false" ht="23.85" hidden="false" customHeight="false" outlineLevel="0" collapsed="false">
      <c r="A19" s="10" t="s">
        <v>116</v>
      </c>
      <c r="B19" s="8" t="n">
        <f aca="false">AVERAGE(C6:C14)</f>
        <v>0.0177777777777778</v>
      </c>
      <c r="C19" s="8" t="n">
        <f aca="false">AVERAGE(E6:E14)</f>
        <v>3.14666666666667</v>
      </c>
      <c r="D19" s="8"/>
      <c r="E19" s="8"/>
    </row>
    <row r="20" customFormat="false" ht="15" hidden="false" customHeight="false" outlineLevel="0" collapsed="false">
      <c r="A20" s="10" t="s">
        <v>117</v>
      </c>
      <c r="B20" s="8" t="n">
        <f aca="false">STDEV(C6:C14)</f>
        <v>0.536418161926351</v>
      </c>
      <c r="C20" s="8" t="n">
        <f aca="false">STDEV(E6:E14)</f>
        <v>0.785</v>
      </c>
      <c r="D20" s="8"/>
      <c r="E20" s="8"/>
    </row>
    <row r="21" customFormat="false" ht="23.85" hidden="false" customHeight="false" outlineLevel="0" collapsed="false">
      <c r="A21" s="10" t="s">
        <v>118</v>
      </c>
      <c r="B21" s="9" t="n">
        <f aca="false">SUMPRODUCT((ABS(C6:C14)&lt;=1)*1)/9</f>
        <v>1</v>
      </c>
      <c r="C21" s="9" t="n">
        <f aca="false">SUMPRODUCT((ABS(E6:E14)&lt;=1)*1)/9</f>
        <v>0</v>
      </c>
      <c r="D21" s="8"/>
      <c r="E21" s="8"/>
    </row>
    <row r="23" customFormat="false" ht="15" hidden="false" customHeight="false" outlineLevel="0" collapsed="false">
      <c r="A23" s="12" t="s">
        <v>119</v>
      </c>
      <c r="B23" s="12"/>
      <c r="C23" s="12"/>
      <c r="D23" s="12"/>
      <c r="E23" s="12"/>
    </row>
  </sheetData>
  <mergeCells count="5">
    <mergeCell ref="A1:E1"/>
    <mergeCell ref="A2:E2"/>
    <mergeCell ref="A4:E4"/>
    <mergeCell ref="A16:E16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120</v>
      </c>
      <c r="B1" s="1"/>
      <c r="C1" s="1"/>
      <c r="D1" s="1"/>
      <c r="E1" s="1"/>
    </row>
    <row r="2" customFormat="false" ht="18" hidden="false" customHeight="true" outlineLevel="0" collapsed="false">
      <c r="A2" s="4" t="s">
        <v>121</v>
      </c>
      <c r="B2" s="4"/>
      <c r="C2" s="4"/>
      <c r="D2" s="4"/>
      <c r="E2" s="4"/>
    </row>
    <row r="4" customFormat="false" ht="15" hidden="false" customHeight="false" outlineLevel="0" collapsed="false">
      <c r="A4" s="5" t="s">
        <v>122</v>
      </c>
      <c r="B4" s="5"/>
      <c r="C4" s="5"/>
      <c r="D4" s="5"/>
      <c r="E4" s="5"/>
    </row>
    <row r="5" customFormat="false" ht="21.75" hidden="false" customHeight="true" outlineLevel="0" collapsed="false">
      <c r="A5" s="6" t="s">
        <v>123</v>
      </c>
      <c r="B5" s="6" t="s">
        <v>124</v>
      </c>
      <c r="C5" s="6" t="s">
        <v>125</v>
      </c>
      <c r="D5" s="6" t="s">
        <v>126</v>
      </c>
      <c r="E5" s="6" t="s">
        <v>44</v>
      </c>
    </row>
    <row r="6" customFormat="false" ht="15" hidden="false" customHeight="false" outlineLevel="0" collapsed="false">
      <c r="A6" s="7" t="s">
        <v>127</v>
      </c>
      <c r="B6" s="9" t="n">
        <v>0.964</v>
      </c>
      <c r="C6" s="9" t="n">
        <v>0.912</v>
      </c>
      <c r="D6" s="9" t="n">
        <f aca="false">B6-C6</f>
        <v>0.0519999999999999</v>
      </c>
      <c r="E6" s="8" t="s">
        <v>128</v>
      </c>
    </row>
    <row r="7" customFormat="false" ht="15" hidden="false" customHeight="false" outlineLevel="0" collapsed="false">
      <c r="A7" s="7" t="s">
        <v>129</v>
      </c>
      <c r="B7" s="9" t="n">
        <v>0.024</v>
      </c>
      <c r="C7" s="9" t="n">
        <v>0.043</v>
      </c>
      <c r="D7" s="9" t="n">
        <f aca="false">B7-C7</f>
        <v>-0.019</v>
      </c>
      <c r="E7" s="8" t="s">
        <v>130</v>
      </c>
    </row>
    <row r="8" customFormat="false" ht="15" hidden="false" customHeight="false" outlineLevel="0" collapsed="false">
      <c r="A8" s="7" t="s">
        <v>131</v>
      </c>
      <c r="B8" s="9" t="n">
        <v>0.011</v>
      </c>
      <c r="C8" s="9" t="n">
        <v>0.029</v>
      </c>
      <c r="D8" s="9" t="n">
        <f aca="false">B8-C8</f>
        <v>-0.018</v>
      </c>
      <c r="E8" s="8" t="s">
        <v>132</v>
      </c>
    </row>
    <row r="9" customFormat="false" ht="15" hidden="false" customHeight="false" outlineLevel="0" collapsed="false">
      <c r="A9" s="7" t="s">
        <v>133</v>
      </c>
      <c r="B9" s="9" t="n">
        <v>0.001</v>
      </c>
      <c r="C9" s="9" t="n">
        <v>0.016</v>
      </c>
      <c r="D9" s="9" t="n">
        <f aca="false">B9-C9</f>
        <v>-0.015</v>
      </c>
      <c r="E9" s="8" t="s">
        <v>134</v>
      </c>
    </row>
    <row r="10" customFormat="false" ht="15" hidden="false" customHeight="false" outlineLevel="0" collapsed="false">
      <c r="A10" s="10" t="s">
        <v>40</v>
      </c>
      <c r="B10" s="9" t="n">
        <f aca="false">SUM(B6:B9)</f>
        <v>1</v>
      </c>
      <c r="C10" s="9" t="n">
        <f aca="false">SUM(C6:C9)</f>
        <v>1</v>
      </c>
      <c r="D10" s="9" t="n">
        <f aca="false">B10-C10</f>
        <v>0</v>
      </c>
      <c r="E10" s="8"/>
    </row>
    <row r="12" customFormat="false" ht="15" hidden="false" customHeight="false" outlineLevel="0" collapsed="false">
      <c r="A12" s="5" t="s">
        <v>135</v>
      </c>
      <c r="B12" s="5"/>
      <c r="C12" s="5"/>
      <c r="D12" s="5"/>
      <c r="E12" s="5"/>
    </row>
    <row r="13" customFormat="false" ht="21.75" hidden="false" customHeight="true" outlineLevel="0" collapsed="false">
      <c r="A13" s="6" t="s">
        <v>43</v>
      </c>
      <c r="B13" s="6" t="s">
        <v>136</v>
      </c>
      <c r="C13" s="6" t="s">
        <v>137</v>
      </c>
      <c r="D13" s="6" t="s">
        <v>138</v>
      </c>
      <c r="E13" s="6"/>
    </row>
    <row r="14" customFormat="false" ht="15" hidden="false" customHeight="false" outlineLevel="0" collapsed="false">
      <c r="A14" s="7" t="s">
        <v>45</v>
      </c>
      <c r="B14" s="11" t="n">
        <f aca="false">D14/C14*100</f>
        <v>2.06659012629162</v>
      </c>
      <c r="C14" s="8" t="n">
        <v>871</v>
      </c>
      <c r="D14" s="8" t="n">
        <v>18</v>
      </c>
      <c r="E14" s="8"/>
    </row>
    <row r="15" customFormat="false" ht="15" hidden="false" customHeight="false" outlineLevel="0" collapsed="false">
      <c r="A15" s="7" t="s">
        <v>114</v>
      </c>
      <c r="B15" s="11" t="n">
        <f aca="false">D15/C15*100</f>
        <v>6.76959619952494</v>
      </c>
      <c r="C15" s="8" t="n">
        <v>842</v>
      </c>
      <c r="D15" s="8" t="n">
        <v>57</v>
      </c>
      <c r="E15" s="8"/>
    </row>
    <row r="16" customFormat="false" ht="15" hidden="false" customHeight="false" outlineLevel="0" collapsed="false">
      <c r="A16" s="10" t="s">
        <v>139</v>
      </c>
      <c r="B16" s="13" t="n">
        <f aca="false">B15/B14</f>
        <v>3.27573238321457</v>
      </c>
      <c r="C16" s="8"/>
      <c r="D16" s="8"/>
      <c r="E16" s="8"/>
    </row>
    <row r="18" customFormat="false" ht="15" hidden="false" customHeight="false" outlineLevel="0" collapsed="false">
      <c r="A18" s="5" t="s">
        <v>140</v>
      </c>
      <c r="B18" s="5"/>
      <c r="C18" s="5"/>
      <c r="D18" s="5"/>
      <c r="E18" s="5"/>
    </row>
    <row r="19" customFormat="false" ht="21.75" hidden="false" customHeight="true" outlineLevel="0" collapsed="false">
      <c r="A19" s="6" t="s">
        <v>141</v>
      </c>
      <c r="B19" s="6" t="s">
        <v>142</v>
      </c>
      <c r="C19" s="6" t="s">
        <v>70</v>
      </c>
      <c r="D19" s="6" t="s">
        <v>71</v>
      </c>
      <c r="E19" s="6"/>
    </row>
    <row r="20" customFormat="false" ht="15" hidden="false" customHeight="false" outlineLevel="0" collapsed="false">
      <c r="A20" s="10" t="s">
        <v>143</v>
      </c>
      <c r="B20" s="11" t="n">
        <v>8.7</v>
      </c>
      <c r="C20" s="8" t="n">
        <v>1</v>
      </c>
      <c r="D20" s="8" t="s">
        <v>144</v>
      </c>
      <c r="E20" s="8"/>
    </row>
    <row r="21" customFormat="false" ht="15" hidden="false" customHeight="false" outlineLevel="0" collapsed="false">
      <c r="A21" s="10" t="s">
        <v>145</v>
      </c>
      <c r="B21" s="11" t="n">
        <v>0.07</v>
      </c>
      <c r="C21" s="8"/>
      <c r="D21" s="8"/>
      <c r="E21" s="8"/>
    </row>
  </sheetData>
  <mergeCells count="5">
    <mergeCell ref="A1:E1"/>
    <mergeCell ref="A2:E2"/>
    <mergeCell ref="A4:E4"/>
    <mergeCell ref="A12:E12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25.5" hidden="false" customHeight="true" outlineLevel="0" collapsed="false">
      <c r="A1" s="1" t="s">
        <v>146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4" t="s">
        <v>147</v>
      </c>
      <c r="B2" s="4"/>
      <c r="C2" s="4"/>
      <c r="D2" s="4"/>
      <c r="E2" s="4"/>
      <c r="F2" s="4"/>
    </row>
    <row r="4" customFormat="false" ht="15" hidden="false" customHeight="false" outlineLevel="0" collapsed="false">
      <c r="A4" s="5" t="s">
        <v>148</v>
      </c>
      <c r="B4" s="5"/>
      <c r="C4" s="5"/>
      <c r="D4" s="5"/>
      <c r="E4" s="5"/>
      <c r="F4" s="5"/>
    </row>
    <row r="5" customFormat="false" ht="21.75" hidden="false" customHeight="true" outlineLevel="0" collapsed="false">
      <c r="A5" s="6" t="s">
        <v>33</v>
      </c>
      <c r="B5" s="6" t="s">
        <v>45</v>
      </c>
      <c r="C5" s="6" t="s">
        <v>114</v>
      </c>
      <c r="D5" s="6" t="s">
        <v>49</v>
      </c>
      <c r="E5" s="6" t="s">
        <v>149</v>
      </c>
      <c r="F5" s="6" t="s">
        <v>23</v>
      </c>
    </row>
    <row r="6" customFormat="false" ht="15" hidden="false" customHeight="false" outlineLevel="0" collapsed="false">
      <c r="A6" s="7" t="s">
        <v>150</v>
      </c>
      <c r="B6" s="11" t="n">
        <v>16</v>
      </c>
      <c r="C6" s="11" t="n">
        <v>8</v>
      </c>
      <c r="D6" s="11" t="n">
        <v>3.6</v>
      </c>
      <c r="E6" s="8" t="n">
        <f aca="false">AVERAGE(B6:D6)</f>
        <v>9.2</v>
      </c>
      <c r="F6" s="8" t="n">
        <v>46</v>
      </c>
    </row>
    <row r="7" customFormat="false" ht="15" hidden="false" customHeight="false" outlineLevel="0" collapsed="false">
      <c r="A7" s="7" t="s">
        <v>151</v>
      </c>
      <c r="B7" s="11" t="n">
        <v>16.4</v>
      </c>
      <c r="C7" s="11" t="n">
        <v>8.2</v>
      </c>
      <c r="D7" s="11" t="n">
        <v>3.5</v>
      </c>
      <c r="E7" s="8" t="n">
        <f aca="false">AVERAGE(B7:D7)</f>
        <v>9.36666666666667</v>
      </c>
      <c r="F7" s="8" t="n">
        <v>41</v>
      </c>
    </row>
    <row r="8" customFormat="false" ht="15" hidden="false" customHeight="false" outlineLevel="0" collapsed="false">
      <c r="A8" s="10" t="s">
        <v>152</v>
      </c>
      <c r="B8" s="8" t="n">
        <f aca="false">AVERAGE(B6:B7)</f>
        <v>16.2</v>
      </c>
      <c r="C8" s="8" t="n">
        <f aca="false">AVERAGE(C6:C7)</f>
        <v>8.1</v>
      </c>
      <c r="D8" s="8" t="n">
        <f aca="false">AVERAGE(D6:D7)</f>
        <v>3.55</v>
      </c>
      <c r="E8" s="8" t="n">
        <f aca="false">AVERAGE(B6:D7)</f>
        <v>9.28333333333333</v>
      </c>
      <c r="F8" s="8" t="n">
        <v>87</v>
      </c>
    </row>
    <row r="10" customFormat="false" ht="15" hidden="false" customHeight="false" outlineLevel="0" collapsed="false">
      <c r="A10" s="5" t="s">
        <v>153</v>
      </c>
      <c r="B10" s="5"/>
      <c r="C10" s="5"/>
      <c r="D10" s="5"/>
      <c r="E10" s="5"/>
      <c r="F10" s="5"/>
    </row>
    <row r="11" customFormat="false" ht="21.75" hidden="false" customHeight="true" outlineLevel="0" collapsed="false">
      <c r="A11" s="6" t="s">
        <v>33</v>
      </c>
      <c r="B11" s="6" t="s">
        <v>45</v>
      </c>
      <c r="C11" s="6" t="s">
        <v>114</v>
      </c>
      <c r="D11" s="6" t="s">
        <v>154</v>
      </c>
      <c r="E11" s="6" t="s">
        <v>69</v>
      </c>
      <c r="F11" s="6" t="s">
        <v>71</v>
      </c>
    </row>
    <row r="12" customFormat="false" ht="15" hidden="false" customHeight="false" outlineLevel="0" collapsed="false">
      <c r="A12" s="7" t="s">
        <v>36</v>
      </c>
      <c r="B12" s="11" t="n">
        <v>6.09</v>
      </c>
      <c r="C12" s="11" t="n">
        <v>4.82</v>
      </c>
      <c r="D12" s="8" t="n">
        <f aca="false">B12-C12</f>
        <v>1.27</v>
      </c>
      <c r="E12" s="11" t="n">
        <v>8.71</v>
      </c>
      <c r="F12" s="8" t="s">
        <v>72</v>
      </c>
    </row>
    <row r="13" customFormat="false" ht="15" hidden="false" customHeight="false" outlineLevel="0" collapsed="false">
      <c r="A13" s="7" t="s">
        <v>38</v>
      </c>
      <c r="B13" s="11" t="n">
        <v>6.18</v>
      </c>
      <c r="C13" s="11" t="n">
        <v>4.84</v>
      </c>
      <c r="D13" s="8" t="n">
        <f aca="false">B13-C13</f>
        <v>1.34</v>
      </c>
      <c r="E13" s="11" t="n">
        <v>8.94</v>
      </c>
      <c r="F13" s="8" t="s">
        <v>72</v>
      </c>
    </row>
    <row r="15" customFormat="false" ht="15" hidden="false" customHeight="false" outlineLevel="0" collapsed="false">
      <c r="A15" s="5" t="s">
        <v>155</v>
      </c>
      <c r="B15" s="5"/>
      <c r="C15" s="5"/>
      <c r="D15" s="5"/>
      <c r="E15" s="5"/>
      <c r="F15" s="5"/>
    </row>
    <row r="16" customFormat="false" ht="21.75" hidden="false" customHeight="true" outlineLevel="0" collapsed="false">
      <c r="A16" s="6" t="s">
        <v>89</v>
      </c>
      <c r="B16" s="6" t="s">
        <v>92</v>
      </c>
      <c r="C16" s="6" t="s">
        <v>156</v>
      </c>
      <c r="D16" s="6" t="s">
        <v>157</v>
      </c>
      <c r="E16" s="6" t="s">
        <v>71</v>
      </c>
      <c r="F16" s="6" t="s">
        <v>158</v>
      </c>
    </row>
    <row r="17" customFormat="false" ht="15" hidden="false" customHeight="false" outlineLevel="0" collapsed="false">
      <c r="A17" s="7" t="s">
        <v>159</v>
      </c>
      <c r="B17" s="11" t="n">
        <v>0.42</v>
      </c>
      <c r="C17" s="8" t="n">
        <v>1</v>
      </c>
      <c r="D17" s="8" t="n">
        <v>81</v>
      </c>
      <c r="E17" s="8" t="s">
        <v>160</v>
      </c>
      <c r="F17" s="11" t="n">
        <v>0.005</v>
      </c>
    </row>
    <row r="18" customFormat="false" ht="15" hidden="false" customHeight="false" outlineLevel="0" collapsed="false">
      <c r="A18" s="10" t="s">
        <v>161</v>
      </c>
      <c r="B18" s="11" t="n">
        <v>21.6</v>
      </c>
      <c r="C18" s="8" t="n">
        <v>2</v>
      </c>
      <c r="D18" s="8" t="n">
        <v>81</v>
      </c>
      <c r="E18" s="8" t="s">
        <v>72</v>
      </c>
      <c r="F18" s="11" t="n">
        <v>0.35</v>
      </c>
    </row>
    <row r="19" customFormat="false" ht="15" hidden="false" customHeight="false" outlineLevel="0" collapsed="false">
      <c r="A19" s="7" t="s">
        <v>162</v>
      </c>
      <c r="B19" s="11" t="n">
        <v>0.31</v>
      </c>
      <c r="C19" s="8" t="n">
        <v>2</v>
      </c>
      <c r="D19" s="8" t="n">
        <v>81</v>
      </c>
      <c r="E19" s="8" t="s">
        <v>163</v>
      </c>
      <c r="F19" s="11" t="n">
        <v>0.008</v>
      </c>
    </row>
    <row r="21" customFormat="false" ht="15" hidden="false" customHeight="false" outlineLevel="0" collapsed="false">
      <c r="A21" s="12" t="s">
        <v>164</v>
      </c>
      <c r="B21" s="12"/>
      <c r="C21" s="12"/>
      <c r="D21" s="12"/>
      <c r="E21" s="12"/>
      <c r="F21" s="12"/>
    </row>
  </sheetData>
  <mergeCells count="6">
    <mergeCell ref="A1:F1"/>
    <mergeCell ref="A2:F2"/>
    <mergeCell ref="A4:F4"/>
    <mergeCell ref="A10:F10"/>
    <mergeCell ref="A15:F15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25.5" hidden="false" customHeight="true" outlineLevel="0" collapsed="false">
      <c r="A1" s="1" t="s">
        <v>165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4" t="s">
        <v>166</v>
      </c>
      <c r="B2" s="4"/>
      <c r="C2" s="4"/>
      <c r="D2" s="4"/>
      <c r="E2" s="4"/>
      <c r="F2" s="4"/>
    </row>
    <row r="4" customFormat="false" ht="15" hidden="false" customHeight="false" outlineLevel="0" collapsed="false">
      <c r="A4" s="5" t="s">
        <v>167</v>
      </c>
      <c r="B4" s="5"/>
      <c r="C4" s="5"/>
      <c r="D4" s="5"/>
      <c r="E4" s="5"/>
      <c r="F4" s="5"/>
    </row>
    <row r="5" customFormat="false" ht="21.75" hidden="false" customHeight="true" outlineLevel="0" collapsed="false">
      <c r="A5" s="6" t="s">
        <v>168</v>
      </c>
      <c r="B5" s="6" t="s">
        <v>169</v>
      </c>
      <c r="C5" s="6" t="s">
        <v>170</v>
      </c>
      <c r="D5" s="6" t="s">
        <v>171</v>
      </c>
      <c r="E5" s="6" t="s">
        <v>71</v>
      </c>
      <c r="F5" s="6" t="s">
        <v>68</v>
      </c>
    </row>
    <row r="6" customFormat="false" ht="15" hidden="false" customHeight="false" outlineLevel="0" collapsed="false">
      <c r="A6" s="7" t="s">
        <v>172</v>
      </c>
      <c r="B6" s="8" t="s">
        <v>173</v>
      </c>
      <c r="C6" s="8" t="s">
        <v>174</v>
      </c>
      <c r="D6" s="11" t="n">
        <v>9.93</v>
      </c>
      <c r="E6" s="8" t="s">
        <v>72</v>
      </c>
      <c r="F6" s="11" t="n">
        <v>1.2</v>
      </c>
    </row>
    <row r="7" customFormat="false" ht="15" hidden="false" customHeight="false" outlineLevel="0" collapsed="false">
      <c r="A7" s="7" t="s">
        <v>175</v>
      </c>
      <c r="B7" s="8" t="s">
        <v>176</v>
      </c>
      <c r="C7" s="8" t="s">
        <v>177</v>
      </c>
      <c r="D7" s="11" t="n">
        <v>8.04</v>
      </c>
      <c r="E7" s="8" t="s">
        <v>72</v>
      </c>
      <c r="F7" s="11" t="n">
        <v>0.99</v>
      </c>
    </row>
    <row r="8" customFormat="false" ht="15" hidden="false" customHeight="false" outlineLevel="0" collapsed="false">
      <c r="A8" s="7" t="s">
        <v>178</v>
      </c>
      <c r="B8" s="8" t="s">
        <v>179</v>
      </c>
      <c r="C8" s="8" t="s">
        <v>180</v>
      </c>
      <c r="D8" s="11" t="n">
        <v>10.61</v>
      </c>
      <c r="E8" s="8" t="s">
        <v>72</v>
      </c>
      <c r="F8" s="11" t="n">
        <v>-1.61</v>
      </c>
    </row>
    <row r="9" customFormat="false" ht="15" hidden="false" customHeight="false" outlineLevel="0" collapsed="false">
      <c r="A9" s="7" t="s">
        <v>181</v>
      </c>
      <c r="B9" s="8" t="s">
        <v>182</v>
      </c>
      <c r="C9" s="8" t="s">
        <v>183</v>
      </c>
      <c r="D9" s="11" t="n">
        <v>6.92</v>
      </c>
      <c r="E9" s="8" t="s">
        <v>72</v>
      </c>
      <c r="F9" s="11" t="n">
        <v>0.85</v>
      </c>
    </row>
    <row r="11" customFormat="false" ht="15" hidden="false" customHeight="false" outlineLevel="0" collapsed="false">
      <c r="A11" s="12" t="s">
        <v>184</v>
      </c>
      <c r="B11" s="12"/>
      <c r="C11" s="12"/>
      <c r="D11" s="12"/>
      <c r="E11" s="12"/>
      <c r="F11" s="12"/>
    </row>
  </sheetData>
  <mergeCells count="4">
    <mergeCell ref="A1:F1"/>
    <mergeCell ref="A2:F2"/>
    <mergeCell ref="A4:F4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</cols>
  <sheetData>
    <row r="1" customFormat="false" ht="25.5" hidden="false" customHeight="true" outlineLevel="0" collapsed="false">
      <c r="A1" s="1" t="s">
        <v>185</v>
      </c>
      <c r="B1" s="1"/>
      <c r="C1" s="1"/>
      <c r="D1" s="1"/>
    </row>
    <row r="2" customFormat="false" ht="18" hidden="false" customHeight="true" outlineLevel="0" collapsed="false">
      <c r="A2" s="4" t="s">
        <v>186</v>
      </c>
      <c r="B2" s="4"/>
      <c r="C2" s="4"/>
      <c r="D2" s="4"/>
    </row>
    <row r="4" customFormat="false" ht="21.75" hidden="false" customHeight="true" outlineLevel="0" collapsed="false">
      <c r="A4" s="6" t="s">
        <v>168</v>
      </c>
      <c r="B4" s="6" t="s">
        <v>45</v>
      </c>
      <c r="C4" s="6" t="s">
        <v>114</v>
      </c>
      <c r="D4" s="6" t="s">
        <v>49</v>
      </c>
    </row>
    <row r="5" customFormat="false" ht="15" hidden="false" customHeight="false" outlineLevel="0" collapsed="false">
      <c r="A5" s="7" t="s">
        <v>187</v>
      </c>
      <c r="B5" s="8" t="s">
        <v>188</v>
      </c>
      <c r="C5" s="8" t="s">
        <v>189</v>
      </c>
      <c r="D5" s="8" t="s">
        <v>190</v>
      </c>
    </row>
    <row r="6" customFormat="false" ht="15" hidden="false" customHeight="false" outlineLevel="0" collapsed="false">
      <c r="A6" s="7" t="s">
        <v>191</v>
      </c>
      <c r="B6" s="8" t="s">
        <v>192</v>
      </c>
      <c r="C6" s="8" t="s">
        <v>193</v>
      </c>
      <c r="D6" s="8" t="s">
        <v>194</v>
      </c>
    </row>
    <row r="7" customFormat="false" ht="15" hidden="false" customHeight="false" outlineLevel="0" collapsed="false">
      <c r="A7" s="7" t="s">
        <v>195</v>
      </c>
      <c r="B7" s="11" t="n">
        <v>0.6</v>
      </c>
      <c r="C7" s="11" t="n">
        <v>3.8</v>
      </c>
      <c r="D7" s="8" t="s">
        <v>190</v>
      </c>
    </row>
    <row r="8" customFormat="false" ht="15" hidden="false" customHeight="false" outlineLevel="0" collapsed="false">
      <c r="A8" s="7" t="s">
        <v>196</v>
      </c>
      <c r="B8" s="11" t="n">
        <v>96.4</v>
      </c>
      <c r="C8" s="11" t="n">
        <v>91.2</v>
      </c>
      <c r="D8" s="8" t="s">
        <v>190</v>
      </c>
    </row>
    <row r="9" customFormat="false" ht="15" hidden="false" customHeight="false" outlineLevel="0" collapsed="false">
      <c r="A9" s="7" t="s">
        <v>197</v>
      </c>
      <c r="B9" s="11" t="n">
        <v>2.1</v>
      </c>
      <c r="C9" s="11" t="n">
        <v>6.8</v>
      </c>
      <c r="D9" s="8" t="s">
        <v>190</v>
      </c>
    </row>
    <row r="10" customFormat="false" ht="15" hidden="false" customHeight="false" outlineLevel="0" collapsed="false">
      <c r="A10" s="7" t="s">
        <v>198</v>
      </c>
      <c r="B10" s="8" t="s">
        <v>173</v>
      </c>
      <c r="C10" s="8" t="s">
        <v>174</v>
      </c>
      <c r="D10" s="8" t="s">
        <v>190</v>
      </c>
    </row>
    <row r="11" customFormat="false" ht="15" hidden="false" customHeight="false" outlineLevel="0" collapsed="false">
      <c r="A11" s="7" t="s">
        <v>199</v>
      </c>
      <c r="B11" s="8" t="s">
        <v>176</v>
      </c>
      <c r="C11" s="8" t="s">
        <v>177</v>
      </c>
      <c r="D11" s="8" t="s">
        <v>190</v>
      </c>
    </row>
    <row r="12" customFormat="false" ht="15" hidden="false" customHeight="false" outlineLevel="0" collapsed="false">
      <c r="A12" s="7" t="s">
        <v>200</v>
      </c>
      <c r="B12" s="8" t="s">
        <v>179</v>
      </c>
      <c r="C12" s="8" t="s">
        <v>180</v>
      </c>
      <c r="D12" s="8" t="s">
        <v>190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7" min="5" style="0" width="14"/>
  </cols>
  <sheetData>
    <row r="1" customFormat="false" ht="25.5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4" t="s">
        <v>202</v>
      </c>
      <c r="B2" s="4"/>
      <c r="C2" s="4"/>
      <c r="D2" s="4"/>
      <c r="E2" s="4"/>
      <c r="F2" s="4"/>
      <c r="G2" s="4"/>
    </row>
    <row r="4" customFormat="false" ht="21.75" hidden="false" customHeight="true" outlineLevel="0" collapsed="false">
      <c r="A4" s="6" t="s">
        <v>203</v>
      </c>
      <c r="B4" s="6" t="s">
        <v>141</v>
      </c>
      <c r="C4" s="6" t="s">
        <v>142</v>
      </c>
      <c r="D4" s="6" t="s">
        <v>70</v>
      </c>
      <c r="E4" s="6" t="s">
        <v>71</v>
      </c>
      <c r="F4" s="6" t="s">
        <v>204</v>
      </c>
      <c r="G4" s="6" t="s">
        <v>205</v>
      </c>
    </row>
    <row r="5" customFormat="false" ht="15" hidden="false" customHeight="false" outlineLevel="0" collapsed="false">
      <c r="A5" s="7" t="s">
        <v>206</v>
      </c>
      <c r="B5" s="8" t="s">
        <v>69</v>
      </c>
      <c r="C5" s="11" t="n">
        <v>12.41</v>
      </c>
      <c r="D5" s="8" t="n">
        <v>85</v>
      </c>
      <c r="E5" s="8" t="s">
        <v>72</v>
      </c>
      <c r="F5" s="11" t="n">
        <v>1.42</v>
      </c>
      <c r="G5" s="8" t="s">
        <v>207</v>
      </c>
    </row>
    <row r="6" customFormat="false" ht="15" hidden="false" customHeight="false" outlineLevel="0" collapsed="false">
      <c r="A6" s="7" t="s">
        <v>208</v>
      </c>
      <c r="B6" s="8" t="s">
        <v>92</v>
      </c>
      <c r="C6" s="11" t="n">
        <v>0.14</v>
      </c>
      <c r="D6" s="8" t="s">
        <v>209</v>
      </c>
      <c r="E6" s="8" t="s">
        <v>210</v>
      </c>
      <c r="F6" s="8"/>
      <c r="G6" s="8" t="s">
        <v>190</v>
      </c>
    </row>
    <row r="7" customFormat="false" ht="15" hidden="false" customHeight="false" outlineLevel="0" collapsed="false">
      <c r="A7" s="7" t="s">
        <v>211</v>
      </c>
      <c r="B7" s="8" t="s">
        <v>92</v>
      </c>
      <c r="C7" s="11" t="n">
        <v>22.3</v>
      </c>
      <c r="D7" s="8" t="s">
        <v>209</v>
      </c>
      <c r="E7" s="8" t="s">
        <v>72</v>
      </c>
      <c r="F7" s="11" t="n">
        <v>0.35</v>
      </c>
      <c r="G7" s="8" t="s">
        <v>212</v>
      </c>
    </row>
    <row r="8" customFormat="false" ht="15" hidden="false" customHeight="false" outlineLevel="0" collapsed="false">
      <c r="A8" s="7" t="s">
        <v>213</v>
      </c>
      <c r="B8" s="8" t="s">
        <v>69</v>
      </c>
      <c r="C8" s="11" t="n">
        <v>4.81</v>
      </c>
      <c r="D8" s="8" t="n">
        <v>57</v>
      </c>
      <c r="E8" s="8" t="s">
        <v>72</v>
      </c>
      <c r="F8" s="11" t="n">
        <v>1.24</v>
      </c>
      <c r="G8" s="8" t="s">
        <v>207</v>
      </c>
    </row>
    <row r="9" customFormat="false" ht="15" hidden="false" customHeight="false" outlineLevel="0" collapsed="false">
      <c r="A9" s="7" t="s">
        <v>214</v>
      </c>
      <c r="B9" s="8" t="s">
        <v>69</v>
      </c>
      <c r="C9" s="11" t="n">
        <v>6.71</v>
      </c>
      <c r="D9" s="8" t="n">
        <v>56</v>
      </c>
      <c r="E9" s="8" t="s">
        <v>72</v>
      </c>
      <c r="F9" s="11" t="n">
        <v>1.78</v>
      </c>
      <c r="G9" s="8" t="s">
        <v>207</v>
      </c>
    </row>
    <row r="10" customFormat="false" ht="15" hidden="false" customHeight="false" outlineLevel="0" collapsed="false">
      <c r="A10" s="7" t="s">
        <v>215</v>
      </c>
      <c r="B10" s="8" t="s">
        <v>69</v>
      </c>
      <c r="C10" s="11" t="n">
        <v>2.46</v>
      </c>
      <c r="D10" s="8" t="n">
        <v>55</v>
      </c>
      <c r="E10" s="8" t="s">
        <v>102</v>
      </c>
      <c r="F10" s="11" t="n">
        <v>0.66</v>
      </c>
      <c r="G10" s="8" t="s">
        <v>216</v>
      </c>
    </row>
    <row r="11" customFormat="false" ht="15" hidden="false" customHeight="false" outlineLevel="0" collapsed="false">
      <c r="A11" s="7" t="s">
        <v>217</v>
      </c>
      <c r="B11" s="8" t="s">
        <v>143</v>
      </c>
      <c r="C11" s="11" t="n">
        <v>8.7</v>
      </c>
      <c r="D11" s="8" t="n">
        <v>1</v>
      </c>
      <c r="E11" s="8" t="s">
        <v>144</v>
      </c>
      <c r="F11" s="11" t="n">
        <v>0.07</v>
      </c>
      <c r="G11" s="8" t="s">
        <v>218</v>
      </c>
    </row>
    <row r="12" customFormat="false" ht="15" hidden="false" customHeight="false" outlineLevel="0" collapsed="false">
      <c r="A12" s="7" t="s">
        <v>219</v>
      </c>
      <c r="B12" s="8" t="s">
        <v>69</v>
      </c>
      <c r="C12" s="11" t="n">
        <v>9.93</v>
      </c>
      <c r="D12" s="8" t="n">
        <v>85</v>
      </c>
      <c r="E12" s="8" t="s">
        <v>72</v>
      </c>
      <c r="F12" s="11" t="n">
        <v>1.2</v>
      </c>
      <c r="G12" s="8" t="s">
        <v>207</v>
      </c>
    </row>
    <row r="13" customFormat="false" ht="15" hidden="false" customHeight="false" outlineLevel="0" collapsed="false">
      <c r="A13" s="7" t="s">
        <v>220</v>
      </c>
      <c r="B13" s="8" t="s">
        <v>69</v>
      </c>
      <c r="C13" s="11" t="n">
        <v>8.04</v>
      </c>
      <c r="D13" s="8" t="n">
        <v>85</v>
      </c>
      <c r="E13" s="8" t="s">
        <v>72</v>
      </c>
      <c r="F13" s="11" t="n">
        <v>0.99</v>
      </c>
      <c r="G13" s="8" t="s">
        <v>221</v>
      </c>
    </row>
    <row r="14" customFormat="false" ht="15" hidden="false" customHeight="false" outlineLevel="0" collapsed="false">
      <c r="A14" s="7" t="s">
        <v>222</v>
      </c>
      <c r="B14" s="8" t="s">
        <v>69</v>
      </c>
      <c r="C14" s="11" t="n">
        <v>10.61</v>
      </c>
      <c r="D14" s="8" t="n">
        <v>85</v>
      </c>
      <c r="E14" s="8" t="s">
        <v>72</v>
      </c>
      <c r="F14" s="11" t="n">
        <v>-1.61</v>
      </c>
      <c r="G14" s="8" t="s">
        <v>207</v>
      </c>
    </row>
    <row r="15" customFormat="false" ht="15" hidden="false" customHeight="false" outlineLevel="0" collapsed="false">
      <c r="A15" s="7" t="s">
        <v>223</v>
      </c>
      <c r="B15" s="8" t="s">
        <v>224</v>
      </c>
      <c r="C15" s="11" t="n">
        <v>0.91</v>
      </c>
      <c r="D15" s="8" t="s">
        <v>190</v>
      </c>
      <c r="E15" s="8" t="s">
        <v>190</v>
      </c>
      <c r="F15" s="8"/>
      <c r="G15" s="8" t="s">
        <v>225</v>
      </c>
    </row>
    <row r="16" customFormat="false" ht="15" hidden="false" customHeight="false" outlineLevel="0" collapsed="false">
      <c r="A16" s="7" t="s">
        <v>226</v>
      </c>
      <c r="B16" s="8" t="s">
        <v>224</v>
      </c>
      <c r="C16" s="11" t="n">
        <v>0.84</v>
      </c>
      <c r="D16" s="8" t="s">
        <v>190</v>
      </c>
      <c r="E16" s="8" t="s">
        <v>190</v>
      </c>
      <c r="F16" s="8"/>
      <c r="G16" s="8" t="s">
        <v>227</v>
      </c>
    </row>
    <row r="17" customFormat="false" ht="15" hidden="false" customHeight="false" outlineLevel="0" collapsed="false">
      <c r="A17" s="7" t="s">
        <v>228</v>
      </c>
      <c r="B17" s="8" t="s">
        <v>92</v>
      </c>
      <c r="C17" s="11" t="n">
        <v>0.42</v>
      </c>
      <c r="D17" s="8" t="s">
        <v>229</v>
      </c>
      <c r="E17" s="8" t="s">
        <v>160</v>
      </c>
      <c r="F17" s="11" t="n">
        <v>0.005</v>
      </c>
      <c r="G17" s="8" t="s">
        <v>230</v>
      </c>
    </row>
    <row r="18" customFormat="false" ht="15" hidden="false" customHeight="false" outlineLevel="0" collapsed="false">
      <c r="A18" s="7" t="s">
        <v>231</v>
      </c>
      <c r="B18" s="8" t="s">
        <v>92</v>
      </c>
      <c r="C18" s="11" t="n">
        <v>21.6</v>
      </c>
      <c r="D18" s="8" t="s">
        <v>232</v>
      </c>
      <c r="E18" s="8" t="s">
        <v>72</v>
      </c>
      <c r="F18" s="11" t="n">
        <v>0.35</v>
      </c>
      <c r="G18" s="8" t="s">
        <v>233</v>
      </c>
    </row>
    <row r="19" customFormat="false" ht="15" hidden="false" customHeight="false" outlineLevel="0" collapsed="false">
      <c r="A19" s="7" t="s">
        <v>234</v>
      </c>
      <c r="B19" s="8" t="s">
        <v>92</v>
      </c>
      <c r="C19" s="11" t="n">
        <v>0.31</v>
      </c>
      <c r="D19" s="8" t="s">
        <v>232</v>
      </c>
      <c r="E19" s="8" t="s">
        <v>163</v>
      </c>
      <c r="F19" s="11" t="n">
        <v>0.008</v>
      </c>
      <c r="G19" s="8" t="s">
        <v>230</v>
      </c>
    </row>
    <row r="20" customFormat="false" ht="15" hidden="false" customHeight="false" outlineLevel="0" collapsed="false">
      <c r="A20" s="7" t="s">
        <v>235</v>
      </c>
      <c r="B20" s="8" t="s">
        <v>143</v>
      </c>
      <c r="C20" s="11" t="n">
        <v>11.8</v>
      </c>
      <c r="D20" s="8" t="n">
        <v>14</v>
      </c>
      <c r="E20" s="8" t="s">
        <v>236</v>
      </c>
      <c r="F20" s="8"/>
      <c r="G20" s="8" t="s">
        <v>237</v>
      </c>
    </row>
    <row r="21" customFormat="false" ht="15" hidden="false" customHeight="false" outlineLevel="0" collapsed="false">
      <c r="A21" s="7" t="s">
        <v>238</v>
      </c>
      <c r="B21" s="8" t="s">
        <v>92</v>
      </c>
      <c r="C21" s="11" t="n">
        <v>0.83</v>
      </c>
      <c r="D21" s="8" t="s">
        <v>239</v>
      </c>
      <c r="E21" s="8" t="s">
        <v>240</v>
      </c>
      <c r="F21" s="8"/>
      <c r="G21" s="8" t="s">
        <v>237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2026-05-22T21:23:58Z</dcterms:created>
  <dc:creator>openpyxl</dc:creator>
  <dc:description/>
  <dc:language>en-US</dc:language>
  <cp:lastModifiedBy/>
  <dcterms:modified xsi:type="dcterms:W3CDTF">2026-05-22T21:23:58Z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